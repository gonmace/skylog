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onma\Documents\Claude\skylog\"/>
    </mc:Choice>
  </mc:AlternateContent>
  <xr:revisionPtr revIDLastSave="0" documentId="8_{DF760915-2E1D-4241-9560-66B6D13B09DE}" xr6:coauthVersionLast="47" xr6:coauthVersionMax="47" xr10:uidLastSave="{00000000-0000-0000-0000-000000000000}"/>
  <bookViews>
    <workbookView xWindow="12024" yWindow="5136" windowWidth="26820" windowHeight="10056" firstSheet="1" activeTab="2" xr2:uid="{00000000-000D-0000-FFFF-FFFF00000000}"/>
  </bookViews>
  <sheets>
    <sheet name="PLANILLA" sheetId="4" state="hidden" r:id="rId1"/>
    <sheet name="PL1" sheetId="2" r:id="rId2"/>
    <sheet name="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6" i="2" l="1"/>
  <c r="P36" i="2" s="1"/>
  <c r="H35" i="2"/>
  <c r="N35" i="2" s="1"/>
  <c r="P35" i="2" s="1"/>
  <c r="H34" i="2"/>
  <c r="N34" i="2" s="1"/>
  <c r="P34" i="2" s="1"/>
  <c r="H33" i="2"/>
  <c r="N33" i="2" s="1"/>
  <c r="P33" i="2" s="1"/>
  <c r="H32" i="2"/>
  <c r="N32" i="2" s="1"/>
  <c r="P32" i="2" s="1"/>
  <c r="AM33" i="2"/>
  <c r="AM32" i="2"/>
  <c r="AL54" i="2"/>
  <c r="AM54" i="2" s="1"/>
  <c r="AK64" i="2"/>
  <c r="AL64" i="2" s="1"/>
  <c r="AM64" i="2" s="1"/>
  <c r="AK63" i="2"/>
  <c r="AL63" i="2" s="1"/>
  <c r="AM63" i="2" s="1"/>
  <c r="AK43" i="2"/>
  <c r="AL43" i="2" s="1"/>
  <c r="AM43" i="2" s="1"/>
  <c r="AM34" i="2" l="1"/>
  <c r="P37" i="2"/>
  <c r="AK62" i="2"/>
  <c r="AL62" i="2" s="1"/>
  <c r="AM62" i="2" s="1"/>
  <c r="AK60" i="2"/>
  <c r="AL60" i="2" s="1"/>
  <c r="AM60" i="2" s="1"/>
  <c r="AK61" i="2"/>
  <c r="AL61" i="2" s="1"/>
  <c r="AM61" i="2" s="1"/>
  <c r="AK52" i="2"/>
  <c r="AL52" i="2" s="1"/>
  <c r="AM52" i="2" s="1"/>
  <c r="AK53" i="2"/>
  <c r="AL53" i="2" s="1"/>
  <c r="AM53" i="2" s="1"/>
  <c r="AK45" i="2"/>
  <c r="AL45" i="2" s="1"/>
  <c r="AM45" i="2" s="1"/>
  <c r="AK46" i="2"/>
  <c r="AL46" i="2" s="1"/>
  <c r="AM46" i="2" s="1"/>
  <c r="AK44" i="2"/>
  <c r="AL44" i="2" s="1"/>
  <c r="AM44" i="2" s="1"/>
  <c r="AM65" i="2" l="1"/>
  <c r="AM47" i="2"/>
  <c r="AM55" i="2"/>
  <c r="AJ25" i="2" l="1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P23" i="2"/>
  <c r="O23" i="2"/>
  <c r="N23" i="2"/>
  <c r="M23" i="2"/>
  <c r="L23" i="2"/>
  <c r="K23" i="2"/>
  <c r="J23" i="2"/>
  <c r="I23" i="2"/>
  <c r="H23" i="2"/>
  <c r="G23" i="2"/>
  <c r="F23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P22" i="2"/>
  <c r="O22" i="2"/>
  <c r="N22" i="2"/>
  <c r="M22" i="2"/>
  <c r="L22" i="2"/>
  <c r="K22" i="2"/>
  <c r="J22" i="2"/>
  <c r="I22" i="2"/>
  <c r="H22" i="2"/>
  <c r="G22" i="2"/>
  <c r="F22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Q23" i="2"/>
  <c r="Q22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AC17" i="2"/>
  <c r="O17" i="2"/>
  <c r="G17" i="2"/>
  <c r="AH16" i="2"/>
  <c r="Z16" i="2"/>
  <c r="R16" i="2"/>
  <c r="J16" i="2"/>
  <c r="AI15" i="2"/>
  <c r="AH15" i="2"/>
  <c r="AC15" i="2"/>
  <c r="AA15" i="2"/>
  <c r="Z15" i="2"/>
  <c r="U15" i="2"/>
  <c r="S15" i="2"/>
  <c r="R15" i="2"/>
  <c r="K15" i="2"/>
  <c r="AH17" i="2"/>
  <c r="Z17" i="2"/>
  <c r="U17" i="2"/>
  <c r="R17" i="2"/>
  <c r="J17" i="2"/>
  <c r="J15" i="2"/>
  <c r="I15" i="2"/>
  <c r="AF17" i="2"/>
  <c r="AB17" i="2"/>
  <c r="Y17" i="2"/>
  <c r="X17" i="2"/>
  <c r="T17" i="2"/>
  <c r="N17" i="2"/>
  <c r="L17" i="2"/>
  <c r="I17" i="2"/>
  <c r="H17" i="2"/>
  <c r="F17" i="2"/>
  <c r="AF16" i="2"/>
  <c r="AB16" i="2"/>
  <c r="X16" i="2"/>
  <c r="T16" i="2"/>
  <c r="L16" i="2"/>
  <c r="H16" i="2"/>
  <c r="G16" i="2"/>
  <c r="F16" i="2"/>
  <c r="AF15" i="2"/>
  <c r="AB15" i="2"/>
  <c r="T15" i="2"/>
  <c r="L15" i="2"/>
  <c r="G15" i="2"/>
  <c r="F15" i="2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F13" i="3"/>
  <c r="I14" i="2" s="1"/>
  <c r="F14" i="3"/>
  <c r="F39" i="3"/>
  <c r="F38" i="3"/>
  <c r="F37" i="3"/>
  <c r="F36" i="3"/>
  <c r="F35" i="3"/>
  <c r="F34" i="3"/>
  <c r="F33" i="3"/>
  <c r="F32" i="3"/>
  <c r="F31" i="3"/>
  <c r="F30" i="3"/>
  <c r="F29" i="3"/>
  <c r="F28" i="3"/>
  <c r="X14" i="2" s="1"/>
  <c r="F27" i="3"/>
  <c r="F26" i="3"/>
  <c r="V14" i="2" s="1"/>
  <c r="F25" i="3"/>
  <c r="F24" i="3"/>
  <c r="F23" i="3"/>
  <c r="F22" i="3"/>
  <c r="F21" i="3"/>
  <c r="F20" i="3"/>
  <c r="F19" i="3"/>
  <c r="F18" i="3"/>
  <c r="N14" i="2" s="1"/>
  <c r="F17" i="3"/>
  <c r="F16" i="3"/>
  <c r="F11" i="3"/>
  <c r="F12" i="3"/>
  <c r="F15" i="3"/>
  <c r="AE18" i="2"/>
  <c r="AD18" i="2"/>
  <c r="AE17" i="2"/>
  <c r="AD17" i="2"/>
  <c r="AE16" i="2"/>
  <c r="AD16" i="2"/>
  <c r="AE15" i="2"/>
  <c r="AD15" i="2"/>
  <c r="AE14" i="2"/>
  <c r="AD14" i="2"/>
  <c r="Q18" i="2"/>
  <c r="P18" i="2"/>
  <c r="Q17" i="2"/>
  <c r="P17" i="2"/>
  <c r="Q16" i="2"/>
  <c r="P16" i="2"/>
  <c r="Q15" i="2"/>
  <c r="P15" i="2"/>
  <c r="Q14" i="2"/>
  <c r="P14" i="2"/>
  <c r="AJ18" i="2"/>
  <c r="AI18" i="2"/>
  <c r="AG18" i="2"/>
  <c r="AA18" i="2"/>
  <c r="Y18" i="2"/>
  <c r="W18" i="2"/>
  <c r="V18" i="2"/>
  <c r="O18" i="2"/>
  <c r="N18" i="2"/>
  <c r="I18" i="2"/>
  <c r="G18" i="2"/>
  <c r="F18" i="2"/>
  <c r="AJ17" i="2"/>
  <c r="AI17" i="2"/>
  <c r="AG17" i="2"/>
  <c r="AA17" i="2"/>
  <c r="W17" i="2"/>
  <c r="V17" i="2"/>
  <c r="S17" i="2"/>
  <c r="M17" i="2"/>
  <c r="K17" i="2"/>
  <c r="AJ16" i="2"/>
  <c r="AI16" i="2"/>
  <c r="AG16" i="2"/>
  <c r="AC16" i="2"/>
  <c r="AA16" i="2"/>
  <c r="Y16" i="2"/>
  <c r="W16" i="2"/>
  <c r="V16" i="2"/>
  <c r="U16" i="2"/>
  <c r="S16" i="2"/>
  <c r="O16" i="2"/>
  <c r="N16" i="2"/>
  <c r="M16" i="2"/>
  <c r="K16" i="2"/>
  <c r="I16" i="2"/>
  <c r="AJ15" i="2"/>
  <c r="AG15" i="2"/>
  <c r="Y15" i="2"/>
  <c r="X15" i="2"/>
  <c r="W15" i="2"/>
  <c r="V15" i="2"/>
  <c r="O15" i="2"/>
  <c r="N15" i="2"/>
  <c r="M15" i="2"/>
  <c r="B7" i="3"/>
  <c r="B6" i="3"/>
  <c r="B5" i="3"/>
  <c r="N14" i="4"/>
  <c r="J14" i="2"/>
  <c r="H14" i="2"/>
  <c r="AJ14" i="2"/>
  <c r="AG14" i="2"/>
  <c r="AH14" i="2"/>
  <c r="AI14" i="2"/>
  <c r="AA14" i="2"/>
  <c r="AB14" i="2"/>
  <c r="AC14" i="2"/>
  <c r="AF14" i="2"/>
  <c r="G14" i="2"/>
  <c r="K14" i="2"/>
  <c r="L14" i="2"/>
  <c r="M14" i="2"/>
  <c r="O14" i="2"/>
  <c r="R14" i="2"/>
  <c r="S14" i="2"/>
  <c r="T14" i="2"/>
  <c r="U14" i="2"/>
  <c r="W14" i="2"/>
  <c r="Y14" i="2"/>
  <c r="Z14" i="2"/>
  <c r="C41" i="3"/>
  <c r="G10" i="3"/>
  <c r="F10" i="3"/>
  <c r="F14" i="2" s="1"/>
  <c r="B37" i="3"/>
  <c r="B38" i="3"/>
  <c r="B39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10" i="3"/>
  <c r="AK24" i="2" l="1"/>
  <c r="AL24" i="2" s="1"/>
  <c r="AM24" i="2" s="1"/>
  <c r="S18" i="2"/>
  <c r="K18" i="2"/>
  <c r="AC18" i="2"/>
  <c r="R18" i="2"/>
  <c r="U18" i="2"/>
  <c r="AH18" i="2"/>
  <c r="J18" i="2"/>
  <c r="M18" i="2"/>
  <c r="Z18" i="2"/>
  <c r="AK17" i="2"/>
  <c r="AL17" i="2" s="1"/>
  <c r="AM17" i="2" s="1"/>
  <c r="H15" i="2"/>
  <c r="AK15" i="2" s="1"/>
  <c r="AL15" i="2" s="1"/>
  <c r="AM15" i="2" s="1"/>
  <c r="X18" i="2"/>
  <c r="T18" i="2"/>
  <c r="AB18" i="2"/>
  <c r="L18" i="2"/>
  <c r="AF18" i="2"/>
  <c r="H18" i="2"/>
  <c r="AK16" i="2"/>
  <c r="AL16" i="2" s="1"/>
  <c r="AM16" i="2" s="1"/>
  <c r="AK14" i="2"/>
  <c r="AL14" i="2" s="1"/>
  <c r="AM14" i="2" s="1"/>
  <c r="C42" i="3"/>
  <c r="C43" i="3"/>
  <c r="AK19" i="2" l="1"/>
  <c r="AL19" i="2" s="1"/>
  <c r="AM19" i="2" s="1"/>
  <c r="AK20" i="2"/>
  <c r="AL20" i="2" s="1"/>
  <c r="AM20" i="2" s="1"/>
  <c r="AK25" i="2"/>
  <c r="AL25" i="2" s="1"/>
  <c r="AM25" i="2" s="1"/>
  <c r="AK18" i="2"/>
  <c r="AL18" i="2" s="1"/>
  <c r="AM18" i="2" s="1"/>
  <c r="AK22" i="2"/>
  <c r="AL22" i="2" s="1"/>
  <c r="AM22" i="2" s="1"/>
  <c r="AK21" i="2"/>
  <c r="AL21" i="2" s="1"/>
  <c r="AM21" i="2" s="1"/>
  <c r="AK23" i="2"/>
  <c r="AL23" i="2" s="1"/>
  <c r="AM23" i="2" s="1"/>
  <c r="AM26" i="2" l="1"/>
  <c r="AL67" i="2" s="1"/>
</calcChain>
</file>

<file path=xl/sharedStrings.xml><?xml version="1.0" encoding="utf-8"?>
<sst xmlns="http://schemas.openxmlformats.org/spreadsheetml/2006/main" count="737" uniqueCount="156">
  <si>
    <t>Fecha:</t>
  </si>
  <si>
    <t>ITEM</t>
  </si>
  <si>
    <t>DESCRIPCION</t>
  </si>
  <si>
    <t>CANTIDAD</t>
  </si>
  <si>
    <t>CERTIFICADO</t>
  </si>
  <si>
    <t>SERVICIO DE SUPERVISION DE PROYECTOS</t>
  </si>
  <si>
    <t>REDLINE GENERAL SERVICES</t>
  </si>
  <si>
    <t>RAMIRO ARMANDO  SUAREZ  RIBERO</t>
  </si>
  <si>
    <t>ERICKA YOSELIN  FLORES  VACA</t>
  </si>
  <si>
    <t>CESAR JOSÉ  MOYA VARGAS</t>
  </si>
  <si>
    <t>OSCAR ROLANDO MENDEZ ROCA FARELL</t>
  </si>
  <si>
    <t>JORGE LUIS  ROJAS  DÁVILA</t>
  </si>
  <si>
    <t>MARTIN EDUARDO VELIZ AREVALO</t>
  </si>
  <si>
    <t>OSCAR FABIAN  QUIROGA  TAMAYO</t>
  </si>
  <si>
    <t>RAÚL RAIMUNDO  PARRAGA  ANTEZANA</t>
  </si>
  <si>
    <t>ABRAHAM  QUENA  CABRERA</t>
  </si>
  <si>
    <t>DAVID ARIEL PEREDO MIRANDA</t>
  </si>
  <si>
    <t>ERIN CALLEJAS VELASQUEZ</t>
  </si>
  <si>
    <t>JOSUÉ CONRRADO FERNÁNDEZ SOTEZ</t>
  </si>
  <si>
    <t>NOMBRE</t>
  </si>
  <si>
    <t>CARGO</t>
  </si>
  <si>
    <t>Project Manager Central</t>
  </si>
  <si>
    <t>Project Manager Regional SCZ</t>
  </si>
  <si>
    <t>Project Manager Regional LPZ</t>
  </si>
  <si>
    <t>Project Manager Regional CBA</t>
  </si>
  <si>
    <t>Supervisor Civil Regional SCZ</t>
  </si>
  <si>
    <t>Supervisor Civil Regional LPZ</t>
  </si>
  <si>
    <t>Supervisor Civil Regional CBA</t>
  </si>
  <si>
    <t>Supervisor Eléctrico Regional</t>
  </si>
  <si>
    <t>Supervisor Mecánico Regional</t>
  </si>
  <si>
    <t>Supervisor Elt/Mec Regional</t>
  </si>
  <si>
    <t>Encargado de Almacén</t>
  </si>
  <si>
    <t>FECHA DE INICIO</t>
  </si>
  <si>
    <t>´01/4/2026</t>
  </si>
  <si>
    <t>´06/4/2026</t>
  </si>
  <si>
    <t>´14/4/2026</t>
  </si>
  <si>
    <t>´07/4/2026</t>
  </si>
  <si>
    <t>HABER BASICO</t>
  </si>
  <si>
    <t>FECHA</t>
  </si>
  <si>
    <t>DIA</t>
  </si>
  <si>
    <t>HORA INGRESO</t>
  </si>
  <si>
    <t>HORA SALIDA</t>
  </si>
  <si>
    <t>REFRIGERIO</t>
  </si>
  <si>
    <t>HORAS TRABAJO</t>
  </si>
  <si>
    <t>TOTAL DIAS TRABAJADOS</t>
  </si>
  <si>
    <t>ATRASOS</t>
  </si>
  <si>
    <t>ATRASOS MINUTOS</t>
  </si>
  <si>
    <t>SI</t>
  </si>
  <si>
    <t>NO</t>
  </si>
  <si>
    <t>TOTAL HORAS TRABAJADAS</t>
  </si>
  <si>
    <t>PLANILLA CONTROL DE ASISTENCIA</t>
  </si>
  <si>
    <t>Nombre</t>
  </si>
  <si>
    <t>Cedula</t>
  </si>
  <si>
    <t>Domicilio</t>
  </si>
  <si>
    <t>CiudadDom</t>
  </si>
  <si>
    <t>Cargo</t>
  </si>
  <si>
    <t>RESPONSABILIDADES</t>
  </si>
  <si>
    <t>DIRTRABAJO</t>
  </si>
  <si>
    <t>Ciudad</t>
  </si>
  <si>
    <t>HORARIO1</t>
  </si>
  <si>
    <t>HORARIO2</t>
  </si>
  <si>
    <t>FECHAINICIO</t>
  </si>
  <si>
    <t>FECHAFINAL</t>
  </si>
  <si>
    <t>HABERBASICO</t>
  </si>
  <si>
    <t>Telefono</t>
  </si>
  <si>
    <t>CAMISA</t>
  </si>
  <si>
    <t>PANTALON</t>
  </si>
  <si>
    <t>BOTINES</t>
  </si>
  <si>
    <t>CHALECO</t>
  </si>
  <si>
    <t>mail</t>
  </si>
  <si>
    <t>Urb el Castillo  D43</t>
  </si>
  <si>
    <t>Cochabamba</t>
  </si>
  <si>
    <t>* Coordinar, monitorear y optimizar la ejecución de proyectos en su región, asegurando el cumplimiento de plazos, indicadores, reportes de gestión y estándares de calidad establecidos.
* Elaborar informes de avance, control y desempeño mediante indicadores de gestión.
* Diseñar y actualizar tableros de control en Power BI para la visualización y análisis de resultados.
* Identificar desviaciones, riesgos y oportunidades de mejora en la ejecución de los proyectos.
* Coordinar con equipos multidisciplinarios para asegurar el cumplimiento de objetivos.
* Reportar avances, hallazgos y propuestas de mejora a la jefatura o gerencia correspondiente
* Planificar, coordinar y asistir en dar seguimiento a los proyectos asignados.
* Ejecutar las labores asignadas por el CONTRATANTE sin limitaciones dentro del marco coherente del Cargo.</t>
  </si>
  <si>
    <t>Parque Industrial Manzano 6</t>
  </si>
  <si>
    <t>Santa Cruz</t>
  </si>
  <si>
    <t>8:00 a 12:30  14:30 a 18:30</t>
  </si>
  <si>
    <t>9:00 a 12:00</t>
  </si>
  <si>
    <t>L</t>
  </si>
  <si>
    <t>XL/46</t>
  </si>
  <si>
    <t>eflores@redlinegs.com</t>
  </si>
  <si>
    <t>rsuarez@redlinegs.com</t>
  </si>
  <si>
    <t>Barrio El Condado , calle San Juan N.8</t>
  </si>
  <si>
    <t>8:00 a 17:00</t>
  </si>
  <si>
    <t>L/44</t>
  </si>
  <si>
    <t>M</t>
  </si>
  <si>
    <t>Calle Victor Eduardo N. 2391 Miraflores</t>
  </si>
  <si>
    <t>La Paz</t>
  </si>
  <si>
    <t>Av. Panamerica, Extranca Río Seco</t>
  </si>
  <si>
    <t>El Alto</t>
  </si>
  <si>
    <t>M/42</t>
  </si>
  <si>
    <t>cmoya@redlinegs.com</t>
  </si>
  <si>
    <t>Urb. Santa Cruz C. Rio Mamore  5370</t>
  </si>
  <si>
    <t>Av. Blanco Galindo Km10, y Elías Meneses</t>
  </si>
  <si>
    <t>XL</t>
  </si>
  <si>
    <t>omendez@redlinegs.com</t>
  </si>
  <si>
    <t>B. La Morita Monasterio Da Silva N.1A</t>
  </si>
  <si>
    <t>* Supervisar la correcta ejecución de las obras civiles, verificando que estas se desarrollen conforme a los planos, especificaciones técnicas, normas vigentes y buenas prácticas de ingeniería.
* Velar por el estricto cumplimiento de las condiciones contractuales de cada proyecto asignado, incluyendo alcance, plazos, costos, calidad y demás obligaciones establecidas en los contratos suscritos.
* Controlar el avance físico de las obras en relación con el cronograma aprobado, identificando desviaciones y gestionando oportunamente las acciones correctivas necesarias.
* Asegurar la calidad de los materiales utilizados, así como de los procesos constructivos y resultados finales, conforme a los estándares exigidos.
* Verificar el cumplimiento de las normas de seguridad industrial y salud ocupacional en obra, promoviendo condiciones de trabajo seguras y reportando cualquier incumplimiento.
* Supervisar el uso eficiente de los recursos asignados (materiales, equipos y mano de obra), evitando desperdicios y optimizando su utilización.
* Revisar, validar y dar seguimiento a toda la documentación técnica y administrativa del proyecto, incluyendo informes, planillas de avance, órdenes de cambio, actas y otros documentos relacionados.
* Coordinar de manera permanente con contratistas, subcontratistas, proveedores, fiscalización y el cliente, asegurando una adecuada comunicación entre las partes.
* Evaluar, gestionar y documentar cualquier modificación, contingencia o imprevisto que surja durante la ejecución del proyecto, conforme a los procedimientos y condiciones contractuales.
* Elaborar y presentar informes periódicos sobre el estado de las obras, incluyendo avances, incidencias, cumplimiento contractual y recomendaciones técnicas.
* Ejecutar las labores asignadas por el CONTRATANTE sin limitaciones dentro del marco coherente del Cargo.</t>
  </si>
  <si>
    <t>S</t>
  </si>
  <si>
    <t>S/39</t>
  </si>
  <si>
    <t>jrojas@redlinegs.com</t>
  </si>
  <si>
    <t>C.Litoral 1261 Miraflores</t>
  </si>
  <si>
    <t>mveliz@redlinegs.com</t>
  </si>
  <si>
    <t>RB Mirador Turupaya</t>
  </si>
  <si>
    <t>oquiroga@redlinegs.com</t>
  </si>
  <si>
    <t>B. San Jose Obrero, C. Huacaraje  2260</t>
  </si>
  <si>
    <t>* Supervisar la ejecución, mantenimiento y operación de los sistemas eléctricos de la planta, verificando su conformidad con planos, especificaciones técnicas, normativas vigentes y buenas prácticas de ingeniería eléctrica.
* Velar por el estricto cumplimiento de las condiciones contractuales de los proyectos eléctricos asignados, incluyendo alcance, plazos, calidad, costos, garantías y demás obligaciones establecidas en los contratos suscritos.
* Controlar la calidad de las instalaciones eléctricas, asegurando la correcta instalación de equipos, la ejecución de pruebas eléctricas, la puesta en marcha y el funcionamiento seguro de los sistemas.
* Garantizar el cumplimiento de las normas de seguridad eléctrica y prevención de riesgos, incluyendo la correcta aplicación de procedimientos de bloqueo y etiquetado (LOTO), uso de equipos de protección personal y control de trabajos energizados.
* Coordinar, dirigir y supervisar al personal técnico y contratistas eléctricos, asegurando el cumplimiento de las actividades programadas, la calidad del trabajo y el uso adecuado de recursos.
* Elaborar, revisar y dar seguimiento a informes técnicos, reportes de avance, registros de mantenimiento, órdenes de trabajo y demás documentación técnica y contractual, asegurando la trazabilidad de las actividades realizadas.
* Ejecutar las labores asignadas por el CONTRATANTE sin limitaciones dentro del marco coherente del Cargo</t>
  </si>
  <si>
    <t>rparraga@redlinegs.com</t>
  </si>
  <si>
    <t>Av Tres Pasos al frente . C Carmelo Perez SN</t>
  </si>
  <si>
    <t>* Supervisar la instalación, mantenimiento y operación de los equipos y sistemas mecánicos de la planta, verificando su conformidad con planos, especificaciones técnicas, normativas vigentes y buenas prácticas de ingeniería.
* Velar por el estricto cumplimiento de las condiciones contractuales de los proyectos mecánicos asignados, incluyendo alcance, plazos, calidad, costos, garantías y demás obligaciones establecidas en los contratos suscritos.
* Controlar la calidad de los trabajos mecánicos, asegurando la correcta ejecución de actividades como montaje, alineación, ajustes, pruebas de funcionamiento y puesta en marcha de equipos, conforme a estándares técnicos aplicables.
* Garantizar el cumplimiento de las normas de seguridad industrial en todas las actividades mecánicas, promoviendo la prevención de riesgos, el uso adecuado de equipos de protección personal y la aplicación de procedimientos seguros de trabajo.
* Coordinar, dirigir y supervisar al personal técnico y contratistas mecánicos, asegurando el cumplimiento de las actividades programadas, la calidad del trabajo y el uso eficiente de los recursos asignados.
* Elaborar, revisar y dar seguimiento a informes técnicos, reportes de avance, registros de mantenimiento, órdenes de trabajo y demás documentación técnica y contractual, asegurando la trazabilidad de todas las actividades realizadas.
* Ejecutar las labores asignadas por el CONTRATANTE sin limitaciones dentro del marco coherente del Cargo.</t>
  </si>
  <si>
    <t>aquena@redlinegs.com</t>
  </si>
  <si>
    <t>Irpavi II, Calle 5 N. 20</t>
  </si>
  <si>
    <t>* Supervisar la instalación, operación y mantenimiento de los equipos y sistemas electromecánicos de la planta, verificando su conformidad con planos, especificaciones técnicas, normativas vigentes y buenas prácticas de ingeniería.
* Velar por el estricto cumplimiento de las condiciones contractuales de los proyectos asignados, incluyendo alcance, plazos, calidad, costos, garantías y demás obligaciones establecidas en los contratos suscritos.
* Controlar la calidad de los trabajos electromecánicos, asegurando la correcta ejecución de actividades como montaje de equipos, conexiones eléctricas, alineación, pruebas integrales y puesta en marcha, conforme a estándares técnicos aplicables.
* Garantizar el cumplimiento de las normas de seguridad industrial y eléctrica en todas las actividades, incluyendo la correcta aplicación de procedimientos de bloqueo y etiquetado (LOTO), uso de equipos de protección personal y control de trabajos críticos.
* Coordinar, dirigir y supervisar al personal técnico y contratistas electromecánicos, asegurando el cumplimiento de las actividades programadas, la calidad del trabajo y el uso eficiente de los recursos asignados.
* Elaborar, revisar y dar seguimiento a informes técnicos, reportes de avance, registros de mantenimiento, órdenes de trabajo y demás documentación técnica y contractual, asegurando la trazabilidad de todas las actividades realizadas.
* Ejecutar las labores asignadas por el CONTRATANTE sin limitaciones dentro del marco coherente del Cargo.</t>
  </si>
  <si>
    <t>dperedo@redlinegs.com</t>
  </si>
  <si>
    <t xml:space="preserve">Av Virgen de Lujan. B. Bibosi C. 10 </t>
  </si>
  <si>
    <t>42 EUR</t>
  </si>
  <si>
    <t>ecallejas@redlinegs.com</t>
  </si>
  <si>
    <t>C. Montenegro 1123 Z. Norte</t>
  </si>
  <si>
    <t>* Administrar, controlar y mantener actualizado el inventario de materiales, equipos y suministros, asegurando su correcta recepción, almacenamiento, conservación y despacho.
* Velar por el cumplimiento de las condiciones contractuales relacionadas con el suministro, almacenamiento y entrega de materiales para cada proyecto asignado, incluyendo plazos, cantidades, calidad y especificaciones técnicas.
* Supervisar la recepción de materiales y equipos, verificando su conformidad con las órdenes de compra, especificaciones técnicas y documentación correspondiente.
* Organizar y garantizar el adecuado almacenamiento de los materiales, asegurando condiciones óptimas de conservación, seguridad, identificación y trazabilidad dentro del almacén.
* Coordinar con las áreas de compras, logística, supervisión y ejecución de proyectos, a fin de asegurar el abastecimiento oportuno de materiales conforme a los requerimientos y cronogramas establecidos.
* Elaborar, mantener y dar seguimiento a los registros de entradas, salidas, saldos y movimientos de inventario, así como a los informes periódicos y documentación de respaldo correspondiente.
* Ejecutar las labores asignadas por el CONTRATANTE sin limitaciones dentro del marco coherente del Cargo.</t>
  </si>
  <si>
    <t>jfernandez@redlinegs.com</t>
  </si>
  <si>
    <t>TOTAL DIAS</t>
  </si>
  <si>
    <t>OBSERVACIONES</t>
  </si>
  <si>
    <t>DIAS</t>
  </si>
  <si>
    <t>HABER GANADO</t>
  </si>
  <si>
    <t>FACTURA TOTAL</t>
  </si>
  <si>
    <t>FACTURADO</t>
  </si>
  <si>
    <t>PLANILLA DE PERSONAL</t>
  </si>
  <si>
    <t>PLANILLA DE ALIMENTACION LA PAZ</t>
  </si>
  <si>
    <t>P.U. CATERING</t>
  </si>
  <si>
    <t>COSTO TOTAL</t>
  </si>
  <si>
    <t>PLANILLA DE ALIMENTACION CBA</t>
  </si>
  <si>
    <t>PLANILLA DE ALIMENTACION SCZ</t>
  </si>
  <si>
    <t>Dotación de Equipos de Computación i5/i7 de ÚLTIMA GENERACIÓN con Licencia Software Basico - Contrato anual.</t>
  </si>
  <si>
    <t>Dotación de Equipos de Computación i5/i7 de ÚLTIMA GENERACIÓN con Licencia Software Especializado de diseño - Contrato anual.</t>
  </si>
  <si>
    <t>PASAJES Y VIATICOS</t>
  </si>
  <si>
    <t>Scz-Lpz-Scz</t>
  </si>
  <si>
    <t>Scz-Cba-Scz</t>
  </si>
  <si>
    <t>Scz-Tja-Scz</t>
  </si>
  <si>
    <t>Lpz-Cba-Lpz</t>
  </si>
  <si>
    <t>ALQUILER EQUIPOS DE COMPUTACION</t>
  </si>
  <si>
    <t>Alojamiento y Alimentación</t>
  </si>
  <si>
    <t>FECHA IDA</t>
  </si>
  <si>
    <t>FECHA REGRESO</t>
  </si>
  <si>
    <t>TOTAL FACTURACION</t>
  </si>
  <si>
    <t>Fee Cont</t>
  </si>
  <si>
    <t>FIRMA APROBACION EMBOL</t>
  </si>
  <si>
    <t>Son : Doscientos cuarenta y dos mil doscientos treinta 37/100 Bolivianos</t>
  </si>
  <si>
    <t xml:space="preserve">CERTIFICADO DE PAGO </t>
  </si>
  <si>
    <t>CLIENTE:</t>
  </si>
  <si>
    <t>P.U.
(Variable)</t>
  </si>
  <si>
    <t>EMBOL S.A. / GERENCIA DE OPERACIONES E INNOVACION TECNOLOGICA</t>
  </si>
  <si>
    <t>Bolivianos</t>
  </si>
  <si>
    <t>SERVICIO:</t>
  </si>
  <si>
    <t>ORDEN DE COMPRA:</t>
  </si>
  <si>
    <t>MONEDA:</t>
  </si>
  <si>
    <t>DIAS LABORABLES:</t>
  </si>
  <si>
    <t>PERIODO: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</si>
</sst>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400A]dddd"/>
    <numFmt numFmtId="167" formatCode="[$-400A]mmmm&quot; de &quot;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5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63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/>
    <xf numFmtId="166" fontId="0" fillId="0" borderId="1" xfId="0" applyNumberFormat="1" applyBorder="1"/>
    <xf numFmtId="20" fontId="0" fillId="0" borderId="1" xfId="0" applyNumberFormat="1" applyBorder="1"/>
    <xf numFmtId="2" fontId="0" fillId="0" borderId="1" xfId="0" applyNumberFormat="1" applyBorder="1"/>
    <xf numFmtId="165" fontId="0" fillId="0" borderId="0" xfId="1" applyNumberFormat="1" applyFont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wrapText="1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165" fontId="0" fillId="0" borderId="1" xfId="3" applyNumberFormat="1" applyFont="1" applyFill="1" applyBorder="1"/>
    <xf numFmtId="0" fontId="0" fillId="0" borderId="14" xfId="0" applyBorder="1" applyAlignment="1">
      <alignment horizontal="center" vertical="center"/>
    </xf>
    <xf numFmtId="0" fontId="9" fillId="0" borderId="0" xfId="2"/>
    <xf numFmtId="0" fontId="0" fillId="4" borderId="0" xfId="0" applyFill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/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164" fontId="0" fillId="0" borderId="1" xfId="1" applyFont="1" applyBorder="1" applyAlignment="1">
      <alignment horizontal="left" indent="1"/>
    </xf>
    <xf numFmtId="165" fontId="0" fillId="0" borderId="1" xfId="3" applyNumberFormat="1" applyFont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/>
    </xf>
    <xf numFmtId="0" fontId="0" fillId="0" borderId="14" xfId="0" applyBorder="1" applyAlignment="1">
      <alignment horizontal="left" vertical="center"/>
    </xf>
    <xf numFmtId="0" fontId="0" fillId="0" borderId="18" xfId="0" applyBorder="1" applyAlignment="1">
      <alignment horizontal="left"/>
    </xf>
    <xf numFmtId="164" fontId="0" fillId="0" borderId="14" xfId="1" applyFont="1" applyBorder="1" applyAlignment="1">
      <alignment horizontal="left" vertical="center"/>
    </xf>
    <xf numFmtId="164" fontId="3" fillId="0" borderId="1" xfId="0" applyNumberFormat="1" applyFont="1" applyBorder="1"/>
    <xf numFmtId="164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3" applyNumberFormat="1" applyFont="1" applyBorder="1"/>
    <xf numFmtId="164" fontId="0" fillId="0" borderId="0" xfId="1" applyFont="1" applyBorder="1" applyAlignment="1">
      <alignment horizontal="center" vertical="center"/>
    </xf>
    <xf numFmtId="164" fontId="3" fillId="0" borderId="0" xfId="0" applyNumberFormat="1" applyFont="1"/>
    <xf numFmtId="43" fontId="0" fillId="0" borderId="1" xfId="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9" xfId="0" applyBorder="1"/>
    <xf numFmtId="14" fontId="0" fillId="0" borderId="1" xfId="0" applyNumberFormat="1" applyBorder="1" applyAlignment="1">
      <alignment vertical="center"/>
    </xf>
    <xf numFmtId="0" fontId="13" fillId="0" borderId="0" xfId="0" applyFont="1"/>
    <xf numFmtId="0" fontId="10" fillId="2" borderId="1" xfId="0" applyFont="1" applyFill="1" applyBorder="1" applyAlignment="1">
      <alignment horizontal="center"/>
    </xf>
    <xf numFmtId="0" fontId="4" fillId="0" borderId="8" xfId="0" applyFont="1" applyBorder="1" applyAlignment="1">
      <alignment horizontal="left" vertical="top"/>
    </xf>
    <xf numFmtId="14" fontId="4" fillId="0" borderId="3" xfId="0" applyNumberFormat="1" applyFont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left" vertical="top"/>
    </xf>
    <xf numFmtId="0" fontId="14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167" fontId="12" fillId="0" borderId="4" xfId="0" applyNumberFormat="1" applyFont="1" applyBorder="1" applyAlignment="1">
      <alignment horizontal="left" vertical="center"/>
    </xf>
    <xf numFmtId="167" fontId="12" fillId="0" borderId="9" xfId="0" applyNumberFormat="1" applyFont="1" applyBorder="1" applyAlignment="1">
      <alignment horizontal="left" vertical="center"/>
    </xf>
    <xf numFmtId="167" fontId="12" fillId="0" borderId="0" xfId="0" applyNumberFormat="1" applyFont="1" applyAlignment="1">
      <alignment horizontal="left" vertical="center"/>
    </xf>
    <xf numFmtId="167" fontId="12" fillId="0" borderId="12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12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4" fontId="0" fillId="6" borderId="8" xfId="1" applyNumberFormat="1" applyFont="1" applyFill="1" applyBorder="1" applyAlignment="1">
      <alignment horizontal="center" vertical="center"/>
    </xf>
    <xf numFmtId="4" fontId="0" fillId="6" borderId="3" xfId="1" applyNumberFormat="1" applyFont="1" applyFill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/>
    </xf>
    <xf numFmtId="164" fontId="0" fillId="0" borderId="5" xfId="1" applyFont="1" applyBorder="1" applyAlignment="1">
      <alignment horizontal="center" vertical="center"/>
    </xf>
    <xf numFmtId="164" fontId="0" fillId="0" borderId="3" xfId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16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14" fillId="0" borderId="0" xfId="0" applyFont="1" applyAlignment="1">
      <alignment horizontal="left"/>
    </xf>
    <xf numFmtId="0" fontId="7" fillId="2" borderId="1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16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6" borderId="8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4" fontId="0" fillId="0" borderId="8" xfId="1" applyNumberFormat="1" applyFont="1" applyBorder="1" applyAlignment="1">
      <alignment horizontal="center" vertical="center"/>
    </xf>
    <xf numFmtId="4" fontId="0" fillId="0" borderId="3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64" fontId="0" fillId="0" borderId="1" xfId="1" applyFont="1" applyBorder="1" applyAlignment="1"/>
    <xf numFmtId="14" fontId="2" fillId="2" borderId="8" xfId="0" applyNumberFormat="1" applyFont="1" applyFill="1" applyBorder="1" applyAlignment="1">
      <alignment horizontal="right"/>
    </xf>
    <xf numFmtId="14" fontId="2" fillId="2" borderId="3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</cellXfs>
  <cellStyles count="4">
    <cellStyle name="Comma" xfId="1" builtinId="3"/>
    <cellStyle name="Hyperlink" xfId="2" builtinId="8"/>
    <cellStyle name="Millares 2" xfId="3" xr:uid="{2DDFD507-700B-41CC-A5C9-24392C5A0565}"/>
    <cellStyle name="Normal" xfId="0" builtinId="0"/>
  </cellStyles>
  <dxfs count="16">
    <dxf>
      <font>
        <color rgb="FF00B050"/>
      </font>
    </dxf>
    <dxf>
      <font>
        <color rgb="FFFF0000"/>
      </font>
      <fill>
        <patternFill>
          <bgColor theme="2" tint="-9.9948118533890809E-2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/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rgb="FF92D050"/>
        </patternFill>
      </fill>
      <border diagonalUp="0" diagonalDown="0">
        <left/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rgb="FF92D050"/>
        </patternFill>
      </fill>
      <border diagonalUp="0" diagonalDown="0">
        <left/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rgb="FF92D050"/>
        </patternFill>
      </fill>
      <border diagonalUp="0" diagonalDown="0">
        <left/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rgb="FF92D05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415636</xdr:colOff>
      <xdr:row>0</xdr:row>
      <xdr:rowOff>180109</xdr:rowOff>
    </xdr:from>
    <xdr:to>
      <xdr:col>2</xdr:col>
      <xdr:colOff>1066800</xdr:colOff>
      <xdr:row>7</xdr:row>
      <xdr:rowOff>215527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B84F6B-04B9-4F2B-8C3E-3CA8F9753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545" y="180109"/>
          <a:ext cx="3588328" cy="16425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FC41E9-C0C6-4967-A5F8-78B78E5DEB75}" name="Tabla1" displayName="Tabla1" ref="B1:S14" totalsRowShown="0" headerRowDxfId="15">
  <autoFilter ref="B1:S14" xr:uid="{5EF9EA4B-B815-401B-A0B4-6D2FF9C4595F}"/>
  <tableColumns count="18">
    <tableColumn id="1" xr3:uid="{3443C3B5-3D14-4184-BC80-7EB07659B337}" name="Nombre" dataDxfId="14"/>
    <tableColumn id="2" xr3:uid="{AB9174FE-5FB2-4974-A908-9E6AB18630F9}" name="Cedula" dataDxfId="13"/>
    <tableColumn id="3" xr3:uid="{5241CF5F-4B30-487C-B202-8CBFDDB675D6}" name="Domicilio" dataDxfId="12"/>
    <tableColumn id="4" xr3:uid="{F7C839E8-9AF4-4F27-8910-36522856B612}" name="CiudadDom" dataDxfId="11"/>
    <tableColumn id="5" xr3:uid="{933447A9-0B2C-4A0D-8D14-0EC07639721D}" name="Cargo" dataDxfId="10"/>
    <tableColumn id="6" xr3:uid="{8A248A22-2178-47FA-BD42-F71B427679D9}" name="RESPONSABILIDADES" dataDxfId="9"/>
    <tableColumn id="7" xr3:uid="{A09AB256-BCAB-42E3-B5BA-065A90EE8AAA}" name="DIRTRABAJO"/>
    <tableColumn id="8" xr3:uid="{087B59CB-3C4F-4F7A-8096-AF7686BE734A}" name="Ciudad" dataDxfId="8"/>
    <tableColumn id="9" xr3:uid="{627E883E-977D-438A-B8BB-AB471F526E74}" name="HORARIO1" dataDxfId="7"/>
    <tableColumn id="10" xr3:uid="{FA9E1C23-AA4B-4408-921D-3F7BFE6F090D}" name="HORARIO2" dataDxfId="6"/>
    <tableColumn id="11" xr3:uid="{351AC979-3D57-452A-8AC6-557EDC4CC97E}" name="FECHAINICIO" dataDxfId="5"/>
    <tableColumn id="12" xr3:uid="{E3973F5B-CD33-4061-A16E-FC79F264748B}" name="FECHAFINAL" dataDxfId="4"/>
    <tableColumn id="13" xr3:uid="{35EAB5C2-7174-462C-BE59-02D9307B9166}" name="HABERBASICO" dataDxfId="3"/>
    <tableColumn id="14" xr3:uid="{764645EB-BE63-436F-9839-13EE91054264}" name="Telefono" dataDxfId="2"/>
    <tableColumn id="15" xr3:uid="{DEE36818-B264-4F5A-A726-110774E5483C}" name="CAMISA"/>
    <tableColumn id="16" xr3:uid="{A66F5F3E-10DF-45E5-9852-F1023E19D60A}" name="PANTALON"/>
    <tableColumn id="17" xr3:uid="{70524872-1B7F-442D-BD78-04437B6A4F9F}" name="BOTINES"/>
    <tableColumn id="18" xr3:uid="{A15E7BFA-E2CE-4795-9B23-05F909EF5E1C}" name="CHALEC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parraga@redlinegs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cmoya@redlinegs.com" TargetMode="External"/><Relationship Id="rId7" Type="http://schemas.openxmlformats.org/officeDocument/2006/relationships/hyperlink" Target="mailto:oquiroga@redlinegs.com" TargetMode="External"/><Relationship Id="rId12" Type="http://schemas.openxmlformats.org/officeDocument/2006/relationships/hyperlink" Target="mailto:jfernandez@redlinegs.com" TargetMode="External"/><Relationship Id="rId2" Type="http://schemas.openxmlformats.org/officeDocument/2006/relationships/hyperlink" Target="mailto:eflores@redlinegs.com" TargetMode="External"/><Relationship Id="rId1" Type="http://schemas.openxmlformats.org/officeDocument/2006/relationships/hyperlink" Target="mailto:rsuarez@redlinegs.com" TargetMode="External"/><Relationship Id="rId6" Type="http://schemas.openxmlformats.org/officeDocument/2006/relationships/hyperlink" Target="mailto:mveliz@redlinegs.com" TargetMode="External"/><Relationship Id="rId11" Type="http://schemas.openxmlformats.org/officeDocument/2006/relationships/hyperlink" Target="mailto:ecallejas@redlinegs.com" TargetMode="External"/><Relationship Id="rId5" Type="http://schemas.openxmlformats.org/officeDocument/2006/relationships/hyperlink" Target="mailto:jrojas@redlinegs.com" TargetMode="External"/><Relationship Id="rId10" Type="http://schemas.openxmlformats.org/officeDocument/2006/relationships/hyperlink" Target="mailto:dperedo@redlinegs.com" TargetMode="External"/><Relationship Id="rId4" Type="http://schemas.openxmlformats.org/officeDocument/2006/relationships/hyperlink" Target="mailto:omendez@redlinegs.com" TargetMode="External"/><Relationship Id="rId9" Type="http://schemas.openxmlformats.org/officeDocument/2006/relationships/hyperlink" Target="mailto:aquena@redlinegs.com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4838-E4E7-487D-913D-ADF408572A87}">
  <dimension ref="A1:Y14"/>
  <sheetViews>
    <sheetView zoomScaleNormal="100" workbookViewId="0">
      <selection activeCell="E21" sqref="E21"/>
    </sheetView>
  </sheetViews>
  <sheetFormatPr defaultColWidth="11.5546875" defaultRowHeight="14.4" customHeight="1" x14ac:dyDescent="0.3"/>
  <cols>
    <col min="1" max="1" width="6.77734375" customWidth="1"/>
    <col min="2" max="2" width="36.109375" bestFit="1" customWidth="1"/>
    <col min="3" max="3" width="11.5546875" customWidth="1"/>
    <col min="4" max="4" width="23" customWidth="1"/>
    <col min="5" max="5" width="16" customWidth="1"/>
    <col min="6" max="6" width="30" customWidth="1"/>
    <col min="7" max="7" width="106.21875" customWidth="1"/>
    <col min="8" max="8" width="41.109375" customWidth="1"/>
    <col min="9" max="9" width="13.21875" customWidth="1"/>
    <col min="10" max="10" width="15" customWidth="1"/>
    <col min="11" max="11" width="15.33203125" customWidth="1"/>
    <col min="12" max="12" width="17.77734375" customWidth="1"/>
    <col min="13" max="13" width="17.5546875" customWidth="1"/>
    <col min="14" max="14" width="20" customWidth="1"/>
    <col min="15" max="15" width="13.109375" customWidth="1"/>
    <col min="16" max="19" width="11.5546875" customWidth="1"/>
    <col min="20" max="20" width="3.109375" customWidth="1"/>
    <col min="21" max="22" width="11.5546875" customWidth="1"/>
    <col min="23" max="23" width="2.88671875" customWidth="1"/>
    <col min="24" max="24" width="22.88671875" style="3" bestFit="1" customWidth="1"/>
    <col min="25" max="25" width="14.77734375" style="3" bestFit="1" customWidth="1"/>
  </cols>
  <sheetData>
    <row r="1" spans="1:25" ht="14.4" customHeight="1" x14ac:dyDescent="0.3">
      <c r="A1" s="13" t="s">
        <v>1</v>
      </c>
      <c r="B1" s="13" t="s">
        <v>51</v>
      </c>
      <c r="C1" s="14" t="s">
        <v>52</v>
      </c>
      <c r="D1" s="14" t="s">
        <v>53</v>
      </c>
      <c r="E1" s="14" t="s">
        <v>54</v>
      </c>
      <c r="F1" s="15" t="s">
        <v>55</v>
      </c>
      <c r="G1" s="16" t="s">
        <v>56</v>
      </c>
      <c r="H1" s="17" t="s">
        <v>57</v>
      </c>
      <c r="I1" s="18" t="s">
        <v>58</v>
      </c>
      <c r="J1" s="18" t="s">
        <v>59</v>
      </c>
      <c r="K1" s="18" t="s">
        <v>60</v>
      </c>
      <c r="L1" s="18" t="s">
        <v>61</v>
      </c>
      <c r="M1" s="18" t="s">
        <v>62</v>
      </c>
      <c r="N1" s="19" t="s">
        <v>63</v>
      </c>
      <c r="O1" s="13" t="s">
        <v>64</v>
      </c>
      <c r="P1" s="20" t="s">
        <v>65</v>
      </c>
      <c r="Q1" s="20" t="s">
        <v>66</v>
      </c>
      <c r="R1" s="20" t="s">
        <v>67</v>
      </c>
      <c r="S1" s="20" t="s">
        <v>68</v>
      </c>
      <c r="U1" s="21" t="s">
        <v>65</v>
      </c>
      <c r="V1" s="21" t="s">
        <v>66</v>
      </c>
      <c r="X1" s="45" t="s">
        <v>69</v>
      </c>
      <c r="Y1" s="45" t="s">
        <v>123</v>
      </c>
    </row>
    <row r="2" spans="1:25" ht="14.4" customHeight="1" x14ac:dyDescent="0.3">
      <c r="A2" s="22">
        <v>1</v>
      </c>
      <c r="B2" s="22" t="s">
        <v>7</v>
      </c>
      <c r="C2">
        <v>2839001</v>
      </c>
      <c r="D2" t="s">
        <v>70</v>
      </c>
      <c r="E2" t="s">
        <v>71</v>
      </c>
      <c r="F2" s="23" t="s">
        <v>21</v>
      </c>
      <c r="G2" s="24" t="s">
        <v>72</v>
      </c>
      <c r="H2" t="s">
        <v>73</v>
      </c>
      <c r="I2" s="25" t="s">
        <v>74</v>
      </c>
      <c r="J2" s="25" t="s">
        <v>75</v>
      </c>
      <c r="K2" s="25" t="s">
        <v>76</v>
      </c>
      <c r="L2" s="26" t="s">
        <v>33</v>
      </c>
      <c r="M2" s="26">
        <v>46112</v>
      </c>
      <c r="N2" s="27">
        <v>9500</v>
      </c>
      <c r="O2" s="22">
        <v>76444259</v>
      </c>
      <c r="P2" s="2" t="s">
        <v>77</v>
      </c>
      <c r="Q2" s="2" t="s">
        <v>78</v>
      </c>
      <c r="R2" s="2">
        <v>42</v>
      </c>
      <c r="S2" t="s">
        <v>77</v>
      </c>
      <c r="U2" s="28" t="s">
        <v>77</v>
      </c>
      <c r="V2" s="28" t="s">
        <v>78</v>
      </c>
      <c r="W2" s="29"/>
      <c r="X2" s="46" t="s">
        <v>80</v>
      </c>
      <c r="Y2" s="48">
        <v>20593.487249999998</v>
      </c>
    </row>
    <row r="3" spans="1:25" ht="14.4" customHeight="1" x14ac:dyDescent="0.3">
      <c r="A3" s="22">
        <v>2</v>
      </c>
      <c r="B3" s="22" t="s">
        <v>8</v>
      </c>
      <c r="C3">
        <v>9703368</v>
      </c>
      <c r="D3" t="s">
        <v>81</v>
      </c>
      <c r="E3" t="s">
        <v>74</v>
      </c>
      <c r="F3" s="23" t="s">
        <v>22</v>
      </c>
      <c r="G3" s="24" t="s">
        <v>72</v>
      </c>
      <c r="H3" t="s">
        <v>73</v>
      </c>
      <c r="I3" s="25" t="s">
        <v>74</v>
      </c>
      <c r="J3" s="25" t="s">
        <v>82</v>
      </c>
      <c r="K3" s="25" t="s">
        <v>76</v>
      </c>
      <c r="L3" s="26" t="s">
        <v>34</v>
      </c>
      <c r="M3" s="26">
        <v>46112</v>
      </c>
      <c r="N3" s="27">
        <v>8000</v>
      </c>
      <c r="O3" s="22">
        <v>78015049</v>
      </c>
      <c r="P3" s="2" t="s">
        <v>77</v>
      </c>
      <c r="Q3" s="2" t="s">
        <v>83</v>
      </c>
      <c r="R3" s="2">
        <v>38</v>
      </c>
      <c r="S3" t="s">
        <v>84</v>
      </c>
      <c r="U3" s="28" t="s">
        <v>77</v>
      </c>
      <c r="V3" s="28" t="s">
        <v>83</v>
      </c>
      <c r="X3" s="46" t="s">
        <v>79</v>
      </c>
      <c r="Y3" s="48">
        <v>17341.883999999998</v>
      </c>
    </row>
    <row r="4" spans="1:25" ht="14.4" customHeight="1" x14ac:dyDescent="0.3">
      <c r="A4" s="22">
        <v>3</v>
      </c>
      <c r="B4" s="22" t="s">
        <v>9</v>
      </c>
      <c r="C4">
        <v>4024225</v>
      </c>
      <c r="D4" t="s">
        <v>85</v>
      </c>
      <c r="E4" t="s">
        <v>86</v>
      </c>
      <c r="F4" s="23" t="s">
        <v>23</v>
      </c>
      <c r="G4" s="24" t="s">
        <v>72</v>
      </c>
      <c r="H4" t="s">
        <v>87</v>
      </c>
      <c r="I4" s="25" t="s">
        <v>88</v>
      </c>
      <c r="J4" s="25" t="s">
        <v>82</v>
      </c>
      <c r="K4" s="25" t="s">
        <v>76</v>
      </c>
      <c r="L4" s="26" t="s">
        <v>34</v>
      </c>
      <c r="M4" s="26">
        <v>46112</v>
      </c>
      <c r="N4" s="27">
        <v>8000</v>
      </c>
      <c r="O4" s="22">
        <v>72471197</v>
      </c>
      <c r="P4" s="2" t="s">
        <v>84</v>
      </c>
      <c r="Q4" s="2" t="s">
        <v>89</v>
      </c>
      <c r="R4" s="2"/>
      <c r="S4" t="s">
        <v>84</v>
      </c>
      <c r="U4" s="28" t="s">
        <v>84</v>
      </c>
      <c r="V4" s="28" t="s">
        <v>89</v>
      </c>
      <c r="X4" s="46" t="s">
        <v>90</v>
      </c>
      <c r="Y4" s="48">
        <v>17341.883999999998</v>
      </c>
    </row>
    <row r="5" spans="1:25" ht="14.4" customHeight="1" x14ac:dyDescent="0.3">
      <c r="A5" s="22">
        <v>4</v>
      </c>
      <c r="B5" s="22" t="s">
        <v>10</v>
      </c>
      <c r="C5">
        <v>4434306</v>
      </c>
      <c r="D5" t="s">
        <v>91</v>
      </c>
      <c r="E5" t="s">
        <v>74</v>
      </c>
      <c r="F5" s="23" t="s">
        <v>24</v>
      </c>
      <c r="G5" s="24" t="s">
        <v>72</v>
      </c>
      <c r="H5" t="s">
        <v>92</v>
      </c>
      <c r="I5" s="25" t="s">
        <v>71</v>
      </c>
      <c r="J5" s="25" t="s">
        <v>82</v>
      </c>
      <c r="K5" s="25" t="s">
        <v>76</v>
      </c>
      <c r="L5" s="26" t="s">
        <v>35</v>
      </c>
      <c r="M5" s="26">
        <v>46112</v>
      </c>
      <c r="N5" s="27">
        <v>8000</v>
      </c>
      <c r="O5" s="22">
        <v>75078991</v>
      </c>
      <c r="P5" s="2" t="s">
        <v>93</v>
      </c>
      <c r="Q5" s="2" t="s">
        <v>78</v>
      </c>
      <c r="R5" s="2">
        <v>42</v>
      </c>
      <c r="S5" t="s">
        <v>93</v>
      </c>
      <c r="U5" s="28" t="s">
        <v>93</v>
      </c>
      <c r="V5" s="28" t="s">
        <v>78</v>
      </c>
      <c r="X5" s="46" t="s">
        <v>94</v>
      </c>
      <c r="Y5" s="48">
        <v>17341.883999999998</v>
      </c>
    </row>
    <row r="6" spans="1:25" ht="14.4" customHeight="1" x14ac:dyDescent="0.3">
      <c r="A6" s="22">
        <v>5</v>
      </c>
      <c r="B6" s="22" t="s">
        <v>11</v>
      </c>
      <c r="C6">
        <v>5652827</v>
      </c>
      <c r="D6" t="s">
        <v>95</v>
      </c>
      <c r="E6" t="s">
        <v>74</v>
      </c>
      <c r="F6" s="23" t="s">
        <v>25</v>
      </c>
      <c r="G6" s="24" t="s">
        <v>96</v>
      </c>
      <c r="H6" t="s">
        <v>73</v>
      </c>
      <c r="I6" s="25" t="s">
        <v>74</v>
      </c>
      <c r="J6" s="25" t="s">
        <v>82</v>
      </c>
      <c r="K6" s="25" t="s">
        <v>76</v>
      </c>
      <c r="L6" s="26" t="s">
        <v>33</v>
      </c>
      <c r="M6" s="26">
        <v>46112</v>
      </c>
      <c r="N6" s="27">
        <v>9165</v>
      </c>
      <c r="O6" s="22">
        <v>67629591</v>
      </c>
      <c r="P6" s="2" t="s">
        <v>97</v>
      </c>
      <c r="Q6" s="30" t="s">
        <v>98</v>
      </c>
      <c r="R6" s="2">
        <v>39</v>
      </c>
      <c r="S6" t="s">
        <v>97</v>
      </c>
      <c r="U6" s="28" t="s">
        <v>97</v>
      </c>
      <c r="V6" s="31" t="s">
        <v>98</v>
      </c>
      <c r="X6" s="46" t="s">
        <v>99</v>
      </c>
      <c r="Y6" s="48">
        <v>19867.295857500001</v>
      </c>
    </row>
    <row r="7" spans="1:25" ht="14.4" customHeight="1" x14ac:dyDescent="0.3">
      <c r="A7" s="22">
        <v>6</v>
      </c>
      <c r="B7" s="22" t="s">
        <v>12</v>
      </c>
      <c r="C7">
        <v>3556248</v>
      </c>
      <c r="D7" t="s">
        <v>100</v>
      </c>
      <c r="E7" t="s">
        <v>86</v>
      </c>
      <c r="F7" s="23" t="s">
        <v>26</v>
      </c>
      <c r="G7" s="24" t="s">
        <v>96</v>
      </c>
      <c r="H7" t="s">
        <v>87</v>
      </c>
      <c r="I7" s="25" t="s">
        <v>88</v>
      </c>
      <c r="J7" s="25" t="s">
        <v>82</v>
      </c>
      <c r="K7" s="25" t="s">
        <v>76</v>
      </c>
      <c r="L7" s="26" t="s">
        <v>36</v>
      </c>
      <c r="M7" s="26">
        <v>46112</v>
      </c>
      <c r="N7" s="27">
        <v>8485</v>
      </c>
      <c r="O7" s="22">
        <v>71249899</v>
      </c>
      <c r="P7" s="2" t="s">
        <v>93</v>
      </c>
      <c r="Q7" s="2" t="s">
        <v>78</v>
      </c>
      <c r="R7" s="2"/>
      <c r="S7" t="s">
        <v>93</v>
      </c>
      <c r="U7" s="28" t="s">
        <v>93</v>
      </c>
      <c r="V7" s="28" t="s">
        <v>78</v>
      </c>
      <c r="X7" s="46" t="s">
        <v>101</v>
      </c>
      <c r="Y7" s="48">
        <v>18393.2357175</v>
      </c>
    </row>
    <row r="8" spans="1:25" ht="14.4" customHeight="1" x14ac:dyDescent="0.3">
      <c r="A8" s="22">
        <v>7</v>
      </c>
      <c r="B8" s="22" t="s">
        <v>13</v>
      </c>
      <c r="C8">
        <v>6500154</v>
      </c>
      <c r="D8" t="s">
        <v>102</v>
      </c>
      <c r="E8" t="s">
        <v>71</v>
      </c>
      <c r="F8" s="23" t="s">
        <v>27</v>
      </c>
      <c r="G8" s="24" t="s">
        <v>96</v>
      </c>
      <c r="H8" t="s">
        <v>92</v>
      </c>
      <c r="I8" s="25" t="s">
        <v>71</v>
      </c>
      <c r="J8" s="25" t="s">
        <v>82</v>
      </c>
      <c r="K8" s="25" t="s">
        <v>76</v>
      </c>
      <c r="L8" s="26" t="s">
        <v>33</v>
      </c>
      <c r="M8" s="26">
        <v>46112</v>
      </c>
      <c r="N8" s="27">
        <v>8485</v>
      </c>
      <c r="O8" s="22">
        <v>67457878</v>
      </c>
      <c r="P8" s="2" t="s">
        <v>84</v>
      </c>
      <c r="Q8" s="2" t="s">
        <v>89</v>
      </c>
      <c r="R8" s="2">
        <v>42</v>
      </c>
      <c r="S8" t="s">
        <v>84</v>
      </c>
      <c r="U8" s="28" t="s">
        <v>84</v>
      </c>
      <c r="V8" s="28" t="s">
        <v>89</v>
      </c>
      <c r="X8" s="46" t="s">
        <v>103</v>
      </c>
      <c r="Y8" s="48">
        <v>18393.2357175</v>
      </c>
    </row>
    <row r="9" spans="1:25" ht="14.4" customHeight="1" x14ac:dyDescent="0.3">
      <c r="A9" s="22">
        <v>8</v>
      </c>
      <c r="B9" s="22" t="s">
        <v>14</v>
      </c>
      <c r="C9">
        <v>6250669</v>
      </c>
      <c r="D9" t="s">
        <v>104</v>
      </c>
      <c r="E9" t="s">
        <v>74</v>
      </c>
      <c r="F9" s="23" t="s">
        <v>28</v>
      </c>
      <c r="G9" s="24" t="s">
        <v>105</v>
      </c>
      <c r="H9" t="s">
        <v>73</v>
      </c>
      <c r="I9" s="25" t="s">
        <v>74</v>
      </c>
      <c r="J9" s="25" t="s">
        <v>82</v>
      </c>
      <c r="K9" s="25" t="s">
        <v>76</v>
      </c>
      <c r="L9" s="26" t="s">
        <v>33</v>
      </c>
      <c r="M9" s="26">
        <v>46112</v>
      </c>
      <c r="N9" s="27">
        <v>9165</v>
      </c>
      <c r="O9" s="22">
        <v>76363514</v>
      </c>
      <c r="P9" s="2" t="s">
        <v>77</v>
      </c>
      <c r="Q9" s="2" t="s">
        <v>83</v>
      </c>
      <c r="R9" s="2">
        <v>41</v>
      </c>
      <c r="S9" t="s">
        <v>77</v>
      </c>
      <c r="U9" s="28" t="s">
        <v>77</v>
      </c>
      <c r="V9" s="28" t="s">
        <v>83</v>
      </c>
      <c r="X9" s="46" t="s">
        <v>106</v>
      </c>
      <c r="Y9" s="48">
        <v>19867.295857500001</v>
      </c>
    </row>
    <row r="10" spans="1:25" ht="14.4" customHeight="1" x14ac:dyDescent="0.3">
      <c r="A10" s="22">
        <v>9</v>
      </c>
      <c r="B10" s="22" t="s">
        <v>15</v>
      </c>
      <c r="C10">
        <v>8250103</v>
      </c>
      <c r="D10" t="s">
        <v>107</v>
      </c>
      <c r="E10" t="s">
        <v>74</v>
      </c>
      <c r="F10" s="23" t="s">
        <v>29</v>
      </c>
      <c r="G10" s="24" t="s">
        <v>108</v>
      </c>
      <c r="H10" t="s">
        <v>73</v>
      </c>
      <c r="I10" s="25" t="s">
        <v>74</v>
      </c>
      <c r="J10" s="25" t="s">
        <v>82</v>
      </c>
      <c r="K10" s="25" t="s">
        <v>76</v>
      </c>
      <c r="L10" s="26" t="s">
        <v>33</v>
      </c>
      <c r="M10" s="26">
        <v>46112</v>
      </c>
      <c r="N10" s="27">
        <v>9165</v>
      </c>
      <c r="O10" s="22">
        <v>73158361</v>
      </c>
      <c r="P10" s="2" t="s">
        <v>77</v>
      </c>
      <c r="Q10" s="2" t="s">
        <v>89</v>
      </c>
      <c r="R10" s="2">
        <v>42</v>
      </c>
      <c r="S10" t="s">
        <v>77</v>
      </c>
      <c r="U10" s="28" t="s">
        <v>77</v>
      </c>
      <c r="V10" s="28" t="s">
        <v>89</v>
      </c>
      <c r="X10" s="46" t="s">
        <v>109</v>
      </c>
      <c r="Y10" s="48">
        <v>19867.295857500001</v>
      </c>
    </row>
    <row r="11" spans="1:25" ht="14.4" customHeight="1" x14ac:dyDescent="0.3">
      <c r="A11" s="22">
        <v>10</v>
      </c>
      <c r="B11" s="22" t="s">
        <v>16</v>
      </c>
      <c r="C11">
        <v>6771897</v>
      </c>
      <c r="D11" t="s">
        <v>110</v>
      </c>
      <c r="E11" t="s">
        <v>86</v>
      </c>
      <c r="F11" s="23" t="s">
        <v>30</v>
      </c>
      <c r="G11" s="24" t="s">
        <v>111</v>
      </c>
      <c r="H11" t="s">
        <v>87</v>
      </c>
      <c r="I11" s="25" t="s">
        <v>88</v>
      </c>
      <c r="J11" s="25" t="s">
        <v>82</v>
      </c>
      <c r="K11" s="25" t="s">
        <v>76</v>
      </c>
      <c r="L11" s="26" t="s">
        <v>33</v>
      </c>
      <c r="M11" s="26">
        <v>46112</v>
      </c>
      <c r="N11" s="27">
        <v>16240</v>
      </c>
      <c r="O11" s="22">
        <v>67199782</v>
      </c>
      <c r="P11" s="2" t="s">
        <v>84</v>
      </c>
      <c r="Q11" s="2" t="s">
        <v>89</v>
      </c>
      <c r="R11" s="2">
        <v>42</v>
      </c>
      <c r="S11" t="s">
        <v>84</v>
      </c>
      <c r="U11" s="28" t="s">
        <v>84</v>
      </c>
      <c r="V11" s="28" t="s">
        <v>89</v>
      </c>
      <c r="X11" s="46" t="s">
        <v>112</v>
      </c>
      <c r="Y11" s="48">
        <v>35204.024520000006</v>
      </c>
    </row>
    <row r="12" spans="1:25" ht="14.4" customHeight="1" x14ac:dyDescent="0.3">
      <c r="A12" s="22">
        <v>11</v>
      </c>
      <c r="B12" s="22" t="s">
        <v>17</v>
      </c>
      <c r="C12">
        <v>10634775</v>
      </c>
      <c r="D12" t="s">
        <v>113</v>
      </c>
      <c r="E12" t="s">
        <v>74</v>
      </c>
      <c r="F12" s="23" t="s">
        <v>30</v>
      </c>
      <c r="G12" s="24" t="s">
        <v>111</v>
      </c>
      <c r="H12" t="s">
        <v>92</v>
      </c>
      <c r="I12" s="25" t="s">
        <v>71</v>
      </c>
      <c r="J12" s="25" t="s">
        <v>82</v>
      </c>
      <c r="K12" s="25" t="s">
        <v>76</v>
      </c>
      <c r="L12" s="26" t="s">
        <v>33</v>
      </c>
      <c r="M12" s="26">
        <v>46112</v>
      </c>
      <c r="N12" s="27">
        <v>12483</v>
      </c>
      <c r="O12" s="22">
        <v>78682540</v>
      </c>
      <c r="P12" s="2" t="s">
        <v>77</v>
      </c>
      <c r="Q12" s="2" t="s">
        <v>89</v>
      </c>
      <c r="R12" s="2" t="s">
        <v>114</v>
      </c>
      <c r="S12" t="s">
        <v>77</v>
      </c>
      <c r="U12" s="28" t="s">
        <v>77</v>
      </c>
      <c r="V12" s="28" t="s">
        <v>89</v>
      </c>
      <c r="X12" s="46" t="s">
        <v>115</v>
      </c>
      <c r="Y12" s="48">
        <v>27059.8422465</v>
      </c>
    </row>
    <row r="13" spans="1:25" ht="14.4" customHeight="1" x14ac:dyDescent="0.3">
      <c r="A13" s="32">
        <v>12</v>
      </c>
      <c r="B13" s="32" t="s">
        <v>18</v>
      </c>
      <c r="C13">
        <v>6835465</v>
      </c>
      <c r="D13" s="33" t="s">
        <v>116</v>
      </c>
      <c r="E13" t="s">
        <v>86</v>
      </c>
      <c r="F13" s="34" t="s">
        <v>31</v>
      </c>
      <c r="G13" s="24" t="s">
        <v>117</v>
      </c>
      <c r="H13" t="s">
        <v>87</v>
      </c>
      <c r="I13" s="35" t="s">
        <v>88</v>
      </c>
      <c r="J13" s="35" t="s">
        <v>82</v>
      </c>
      <c r="K13" s="35" t="s">
        <v>76</v>
      </c>
      <c r="L13" s="26" t="s">
        <v>33</v>
      </c>
      <c r="M13" s="26">
        <v>46112</v>
      </c>
      <c r="N13" s="27">
        <v>3808</v>
      </c>
      <c r="O13" s="32">
        <v>76259101</v>
      </c>
      <c r="P13" s="2" t="s">
        <v>84</v>
      </c>
      <c r="Q13" s="2" t="s">
        <v>89</v>
      </c>
      <c r="R13" s="2">
        <v>40</v>
      </c>
      <c r="S13" t="s">
        <v>77</v>
      </c>
      <c r="U13" s="28" t="s">
        <v>84</v>
      </c>
      <c r="V13" s="28" t="s">
        <v>89</v>
      </c>
      <c r="X13" s="46" t="s">
        <v>118</v>
      </c>
      <c r="Y13" s="48">
        <v>8254.7367840000006</v>
      </c>
    </row>
    <row r="14" spans="1:25" ht="14.4" customHeight="1" x14ac:dyDescent="0.3">
      <c r="A14" s="33"/>
      <c r="B14" s="33"/>
      <c r="C14" s="33"/>
      <c r="D14" s="33"/>
      <c r="E14" s="33"/>
      <c r="F14" s="34"/>
      <c r="I14" s="36"/>
      <c r="J14" s="36"/>
      <c r="K14" s="36"/>
      <c r="L14" s="36"/>
      <c r="M14" s="36"/>
      <c r="N14" s="27">
        <f>SUM(N2:N13)</f>
        <v>110496</v>
      </c>
      <c r="O14" s="33"/>
      <c r="U14" s="37"/>
      <c r="V14" s="37"/>
      <c r="X14" s="47"/>
      <c r="Y14" s="47"/>
    </row>
  </sheetData>
  <hyperlinks>
    <hyperlink ref="X2" r:id="rId1" xr:uid="{BE0DDD53-35BF-44CF-A167-FBB2D75B1BB0}"/>
    <hyperlink ref="X3" r:id="rId2" xr:uid="{5C4DCBA2-E22F-44F6-A59C-5DE160D01332}"/>
    <hyperlink ref="X4" r:id="rId3" xr:uid="{A2488306-1A1B-41B0-A7BF-EBAACC897A27}"/>
    <hyperlink ref="X5" r:id="rId4" xr:uid="{1F0CC4B7-513D-47F3-BAA7-E4EB6BC09650}"/>
    <hyperlink ref="X6" r:id="rId5" xr:uid="{A8AF0F47-B796-4878-959A-B14088A0DD76}"/>
    <hyperlink ref="X7" r:id="rId6" xr:uid="{7DDE7931-1140-4412-A572-C50D8D3FC75A}"/>
    <hyperlink ref="X8" r:id="rId7" xr:uid="{6CA0B33C-B5EC-4704-B306-97AB89B94C04}"/>
    <hyperlink ref="X9" r:id="rId8" xr:uid="{F6989062-3A5F-4B20-BA4A-98AF70AF12B9}"/>
    <hyperlink ref="X10" r:id="rId9" xr:uid="{E9EA955A-FAD3-4E28-B034-D0F9020BF02C}"/>
    <hyperlink ref="X11" r:id="rId10" xr:uid="{C357AA6B-31C5-4F3A-8F1A-B176621E4840}"/>
    <hyperlink ref="X12" r:id="rId11" xr:uid="{94150698-D5B0-4258-B1D8-171D988AD000}"/>
    <hyperlink ref="X13" r:id="rId12" xr:uid="{011C6147-B7AC-48BC-AA61-6BE171D65292}"/>
  </hyperlinks>
  <pageMargins left="0.70866141732283472" right="0.70866141732283472" top="0.74803149606299213" bottom="0.74803149606299213" header="0.31496062992125984" footer="0.31496062992125984"/>
  <pageSetup scale="150" orientation="landscape" r:id="rId1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1B30-3657-49C9-A53B-FB00155D2181}">
  <sheetPr>
    <pageSetUpPr fitToPage="1"/>
  </sheetPr>
  <dimension ref="A1:AM79"/>
  <sheetViews>
    <sheetView view="pageBreakPreview" zoomScale="55" zoomScaleNormal="55" zoomScaleSheetLayoutView="55" workbookViewId="0">
      <selection activeCell="H18" sqref="H18"/>
    </sheetView>
  </sheetViews>
  <sheetFormatPr defaultColWidth="11.5546875" defaultRowHeight="14.4" x14ac:dyDescent="0.3"/>
  <cols>
    <col min="1" max="1" width="7.6640625" bestFit="1" customWidth="1"/>
    <col min="2" max="2" width="42.77734375" bestFit="1" customWidth="1"/>
    <col min="3" max="3" width="29.44140625" customWidth="1"/>
    <col min="4" max="4" width="13.21875" customWidth="1"/>
    <col min="5" max="5" width="13.44140625" customWidth="1"/>
    <col min="6" max="36" width="5.77734375" customWidth="1"/>
    <col min="38" max="39" width="15.88671875" customWidth="1"/>
  </cols>
  <sheetData>
    <row r="1" spans="1:39" ht="23.4" customHeight="1" x14ac:dyDescent="0.3">
      <c r="A1" s="69"/>
      <c r="B1" s="69"/>
      <c r="C1" s="69"/>
      <c r="D1" s="125" t="s">
        <v>146</v>
      </c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/>
      <c r="AL1" s="62" t="s">
        <v>0</v>
      </c>
      <c r="AM1" s="63">
        <v>46132</v>
      </c>
    </row>
    <row r="2" spans="1:39" ht="15" customHeight="1" x14ac:dyDescent="0.3">
      <c r="A2" s="69"/>
      <c r="B2" s="69"/>
      <c r="C2" s="69"/>
      <c r="D2" s="128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30"/>
      <c r="AL2" s="145">
        <v>1</v>
      </c>
      <c r="AM2" s="146"/>
    </row>
    <row r="3" spans="1:39" ht="18" customHeight="1" x14ac:dyDescent="0.3">
      <c r="A3" s="69"/>
      <c r="B3" s="69"/>
      <c r="C3" s="70"/>
      <c r="D3" s="64" t="s">
        <v>147</v>
      </c>
      <c r="E3" s="77" t="s">
        <v>149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8"/>
      <c r="W3" s="66" t="s">
        <v>155</v>
      </c>
      <c r="X3" s="66"/>
      <c r="Y3" s="83">
        <v>46113</v>
      </c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4"/>
      <c r="AL3" s="147"/>
      <c r="AM3" s="148"/>
    </row>
    <row r="4" spans="1:39" ht="18" customHeight="1" x14ac:dyDescent="0.3">
      <c r="A4" s="69"/>
      <c r="B4" s="69"/>
      <c r="C4" s="70"/>
      <c r="D4" s="23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80"/>
      <c r="W4" s="65"/>
      <c r="X4" s="6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6"/>
      <c r="AL4" s="147"/>
      <c r="AM4" s="148"/>
    </row>
    <row r="5" spans="1:39" ht="18" customHeight="1" x14ac:dyDescent="0.3">
      <c r="A5" s="69"/>
      <c r="B5" s="69"/>
      <c r="C5" s="70"/>
      <c r="D5" s="67" t="s">
        <v>151</v>
      </c>
      <c r="E5" s="81" t="s">
        <v>5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2"/>
      <c r="W5" s="89" t="s">
        <v>154</v>
      </c>
      <c r="X5" s="89"/>
      <c r="Y5" s="89"/>
      <c r="Z5" s="89"/>
      <c r="AA5" s="89"/>
      <c r="AB5" s="87">
        <v>22</v>
      </c>
      <c r="AC5" s="87"/>
      <c r="AD5" s="87"/>
      <c r="AE5" s="87"/>
      <c r="AF5" s="87"/>
      <c r="AG5" s="87"/>
      <c r="AH5" s="87"/>
      <c r="AI5" s="87"/>
      <c r="AJ5" s="87"/>
      <c r="AK5" s="88"/>
      <c r="AL5" s="147"/>
      <c r="AM5" s="148"/>
    </row>
    <row r="6" spans="1:39" ht="18" customHeight="1" x14ac:dyDescent="0.3">
      <c r="A6" s="69"/>
      <c r="B6" s="69"/>
      <c r="C6" s="70"/>
      <c r="D6" s="23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2"/>
      <c r="W6" s="89"/>
      <c r="X6" s="89"/>
      <c r="Y6" s="89"/>
      <c r="Z6" s="89"/>
      <c r="AA6" s="89"/>
      <c r="AB6" s="87"/>
      <c r="AC6" s="87"/>
      <c r="AD6" s="87"/>
      <c r="AE6" s="87"/>
      <c r="AF6" s="87"/>
      <c r="AG6" s="87"/>
      <c r="AH6" s="87"/>
      <c r="AI6" s="87"/>
      <c r="AJ6" s="87"/>
      <c r="AK6" s="88"/>
      <c r="AL6" s="147"/>
      <c r="AM6" s="148"/>
    </row>
    <row r="7" spans="1:39" x14ac:dyDescent="0.3">
      <c r="A7" s="69"/>
      <c r="B7" s="69"/>
      <c r="C7" s="70"/>
      <c r="D7" s="67" t="s">
        <v>152</v>
      </c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2"/>
      <c r="W7" t="s">
        <v>153</v>
      </c>
      <c r="Y7" s="79" t="s">
        <v>150</v>
      </c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80"/>
      <c r="AL7" s="149"/>
      <c r="AM7" s="150"/>
    </row>
    <row r="8" spans="1:39" ht="23.4" x14ac:dyDescent="0.3">
      <c r="A8" s="69"/>
      <c r="B8" s="69"/>
      <c r="C8" s="70"/>
      <c r="D8" s="34"/>
      <c r="E8" s="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4"/>
      <c r="W8" s="33"/>
      <c r="X8" s="33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6"/>
      <c r="AL8" s="143" t="s">
        <v>4</v>
      </c>
      <c r="AM8" s="144"/>
    </row>
    <row r="9" spans="1:39" x14ac:dyDescent="0.3">
      <c r="A9" s="51"/>
      <c r="B9" s="51"/>
      <c r="C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</row>
    <row r="10" spans="1:39" ht="31.2" x14ac:dyDescent="0.6">
      <c r="A10" s="71" t="s">
        <v>125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3"/>
    </row>
    <row r="11" spans="1:39" ht="5.4" customHeight="1" x14ac:dyDescent="0.3"/>
    <row r="12" spans="1:39" x14ac:dyDescent="0.3">
      <c r="A12" s="68" t="s">
        <v>1</v>
      </c>
      <c r="B12" s="68" t="s">
        <v>19</v>
      </c>
      <c r="C12" s="76" t="s">
        <v>20</v>
      </c>
      <c r="D12" s="75" t="s">
        <v>32</v>
      </c>
      <c r="E12" s="75" t="s">
        <v>37</v>
      </c>
      <c r="F12" s="74" t="s">
        <v>121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5" t="s">
        <v>119</v>
      </c>
      <c r="AL12" s="75" t="s">
        <v>122</v>
      </c>
      <c r="AM12" s="68" t="s">
        <v>124</v>
      </c>
    </row>
    <row r="13" spans="1:39" x14ac:dyDescent="0.3">
      <c r="A13" s="68"/>
      <c r="B13" s="68"/>
      <c r="C13" s="76"/>
      <c r="D13" s="75"/>
      <c r="E13" s="75"/>
      <c r="F13" s="38">
        <v>1</v>
      </c>
      <c r="G13" s="38">
        <v>2</v>
      </c>
      <c r="H13" s="38">
        <v>3</v>
      </c>
      <c r="I13" s="38">
        <v>4</v>
      </c>
      <c r="J13" s="38">
        <v>5</v>
      </c>
      <c r="K13" s="38">
        <v>6</v>
      </c>
      <c r="L13" s="38">
        <v>7</v>
      </c>
      <c r="M13" s="38">
        <v>8</v>
      </c>
      <c r="N13" s="38">
        <v>9</v>
      </c>
      <c r="O13" s="38">
        <v>10</v>
      </c>
      <c r="P13" s="38">
        <v>11</v>
      </c>
      <c r="Q13" s="38">
        <v>12</v>
      </c>
      <c r="R13" s="38">
        <v>13</v>
      </c>
      <c r="S13" s="38">
        <v>14</v>
      </c>
      <c r="T13" s="38">
        <v>15</v>
      </c>
      <c r="U13" s="38">
        <v>16</v>
      </c>
      <c r="V13" s="38">
        <v>17</v>
      </c>
      <c r="W13" s="38">
        <v>18</v>
      </c>
      <c r="X13" s="38">
        <v>19</v>
      </c>
      <c r="Y13" s="38">
        <v>20</v>
      </c>
      <c r="Z13" s="38">
        <v>21</v>
      </c>
      <c r="AA13" s="38">
        <v>22</v>
      </c>
      <c r="AB13" s="38">
        <v>23</v>
      </c>
      <c r="AC13" s="38">
        <v>24</v>
      </c>
      <c r="AD13" s="38">
        <v>25</v>
      </c>
      <c r="AE13" s="38">
        <v>26</v>
      </c>
      <c r="AF13" s="38">
        <v>27</v>
      </c>
      <c r="AG13" s="38">
        <v>28</v>
      </c>
      <c r="AH13" s="38">
        <v>29</v>
      </c>
      <c r="AI13" s="38">
        <v>30</v>
      </c>
      <c r="AJ13" s="38">
        <v>31</v>
      </c>
      <c r="AK13" s="75"/>
      <c r="AL13" s="75"/>
      <c r="AM13" s="68"/>
    </row>
    <row r="14" spans="1:39" ht="19.95" customHeight="1" x14ac:dyDescent="0.3">
      <c r="A14" s="43">
        <v>1</v>
      </c>
      <c r="B14" s="1" t="s">
        <v>7</v>
      </c>
      <c r="C14" s="1" t="s">
        <v>21</v>
      </c>
      <c r="D14" s="6">
        <v>46113</v>
      </c>
      <c r="E14" s="42">
        <v>9500</v>
      </c>
      <c r="F14" s="5" t="str">
        <f>+IF('1'!F10&gt;1,"SI","NO")</f>
        <v>SI</v>
      </c>
      <c r="G14" s="5" t="str">
        <f>+IF('1'!F11&gt;1,"SI","NO")</f>
        <v>SI</v>
      </c>
      <c r="H14" s="5" t="str">
        <f>+IF('1'!F12&gt;1,"SI","NO")</f>
        <v>SI</v>
      </c>
      <c r="I14" s="44" t="str">
        <f>+IF('1'!F13&gt;1,"SI","NO")</f>
        <v>NO</v>
      </c>
      <c r="J14" s="44" t="str">
        <f>+IF('1'!F14&gt;1,"SI","NO")</f>
        <v>NO</v>
      </c>
      <c r="K14" s="5" t="str">
        <f>+IF('1'!F15&gt;1,"SI","NO")</f>
        <v>SI</v>
      </c>
      <c r="L14" s="5" t="str">
        <f>+IF('1'!F16&gt;1,"SI","NO")</f>
        <v>SI</v>
      </c>
      <c r="M14" s="5" t="str">
        <f>+IF('1'!F17&gt;1,"SI","NO")</f>
        <v>SI</v>
      </c>
      <c r="N14" s="5" t="str">
        <f>+IF('1'!F18&gt;1,"SI","NO")</f>
        <v>SI</v>
      </c>
      <c r="O14" s="5" t="str">
        <f>+IF('1'!F19&gt;1,"SI","NO")</f>
        <v>SI</v>
      </c>
      <c r="P14" s="44" t="str">
        <f>+IF('1'!M13&gt;1,"SI","NO")</f>
        <v>NO</v>
      </c>
      <c r="Q14" s="44" t="str">
        <f>+IF('1'!M14&gt;1,"SI","NO")</f>
        <v>NO</v>
      </c>
      <c r="R14" s="5" t="str">
        <f>+IF('1'!F22&gt;1,"SI","NO")</f>
        <v>SI</v>
      </c>
      <c r="S14" s="5" t="str">
        <f>+IF('1'!F23&gt;1,"SI","NO")</f>
        <v>SI</v>
      </c>
      <c r="T14" s="5" t="str">
        <f>+IF('1'!F24&gt;1,"SI","NO")</f>
        <v>SI</v>
      </c>
      <c r="U14" s="5" t="str">
        <f>+IF('1'!F25&gt;1,"SI","NO")</f>
        <v>SI</v>
      </c>
      <c r="V14" s="5" t="str">
        <f>+IF('1'!F26&gt;1,"SI","NO")</f>
        <v>SI</v>
      </c>
      <c r="W14" s="44" t="str">
        <f>+IF('1'!F27&gt;1,"SI","NO")</f>
        <v>NO</v>
      </c>
      <c r="X14" s="44" t="str">
        <f>+IF('1'!F28&gt;1,"SI","NO")</f>
        <v>NO</v>
      </c>
      <c r="Y14" s="5" t="str">
        <f>+IF('1'!F29&gt;1,"SI","NO")</f>
        <v>SI</v>
      </c>
      <c r="Z14" s="5" t="str">
        <f>+IF('1'!F30&gt;1,"SI","NO")</f>
        <v>SI</v>
      </c>
      <c r="AA14" s="5" t="str">
        <f>+IF('1'!F31&gt;1,"SI","NO")</f>
        <v>SI</v>
      </c>
      <c r="AB14" s="5" t="str">
        <f>+IF('1'!F32&gt;1,"SI","NO")</f>
        <v>SI</v>
      </c>
      <c r="AC14" s="5" t="str">
        <f>+IF('1'!F33&gt;1,"SI","NO")</f>
        <v>SI</v>
      </c>
      <c r="AD14" s="44" t="str">
        <f>+IF('1'!M27&gt;1,"SI","NO")</f>
        <v>NO</v>
      </c>
      <c r="AE14" s="44" t="str">
        <f>+IF('1'!M28&gt;1,"SI","NO")</f>
        <v>NO</v>
      </c>
      <c r="AF14" s="5" t="str">
        <f>+IF('1'!F36&gt;1,"SI","NO")</f>
        <v>SI</v>
      </c>
      <c r="AG14" s="5" t="str">
        <f>+IF('1'!F37&gt;1,"SI","NO")</f>
        <v>SI</v>
      </c>
      <c r="AH14" s="5" t="str">
        <f>+IF('1'!F38&gt;1,"SI","NO")</f>
        <v>SI</v>
      </c>
      <c r="AI14" s="5" t="str">
        <f>+IF('1'!F39&gt;1,"SI","NO")</f>
        <v>SI</v>
      </c>
      <c r="AJ14" s="44" t="str">
        <f>+IF('1'!F41&gt;1,"SI","NO")</f>
        <v>NO</v>
      </c>
      <c r="AK14" s="5">
        <f>+COUNTIF(F14:AJ14,"SI")</f>
        <v>22</v>
      </c>
      <c r="AL14" s="50">
        <f t="shared" ref="AL14:AL25" si="0">+AK14/$AB$5*E14</f>
        <v>9500</v>
      </c>
      <c r="AM14" s="50">
        <f>+AL14/0.461310893326238</f>
        <v>20593.487250000017</v>
      </c>
    </row>
    <row r="15" spans="1:39" ht="19.95" customHeight="1" x14ac:dyDescent="0.3">
      <c r="A15" s="43">
        <v>2</v>
      </c>
      <c r="B15" s="1" t="s">
        <v>8</v>
      </c>
      <c r="C15" s="1" t="s">
        <v>22</v>
      </c>
      <c r="D15" s="6">
        <v>46118</v>
      </c>
      <c r="E15" s="42">
        <v>8000</v>
      </c>
      <c r="F15" s="44" t="e">
        <f>+IF(#REF!&gt;1,"SI","NO")</f>
        <v>#REF!</v>
      </c>
      <c r="G15" s="44" t="e">
        <f>+IF(#REF!&gt;1,"SI","NO")</f>
        <v>#REF!</v>
      </c>
      <c r="H15" s="44" t="e">
        <f>+IF(#REF!&gt;1,"SI","NO")</f>
        <v>#REF!</v>
      </c>
      <c r="I15" s="44" t="e">
        <f>+IF(#REF!&gt;1,"SI","NO")</f>
        <v>#REF!</v>
      </c>
      <c r="J15" s="44" t="e">
        <f>+IF(#REF!&gt;1,"SI","NO")</f>
        <v>#REF!</v>
      </c>
      <c r="K15" s="5" t="e">
        <f>+IF(#REF!&gt;1,"SI","NO")</f>
        <v>#REF!</v>
      </c>
      <c r="L15" s="5" t="e">
        <f>+IF(#REF!&gt;1,"SI","NO")</f>
        <v>#REF!</v>
      </c>
      <c r="M15" s="5" t="e">
        <f>+IF(#REF!&gt;1,"SI","NO")</f>
        <v>#REF!</v>
      </c>
      <c r="N15" s="5" t="e">
        <f>+IF(#REF!&gt;1,"SI","NO")</f>
        <v>#REF!</v>
      </c>
      <c r="O15" s="5" t="e">
        <f>+IF(#REF!&gt;1,"SI","NO")</f>
        <v>#REF!</v>
      </c>
      <c r="P15" s="44" t="e">
        <f>+IF(#REF!&gt;1,"SI","NO")</f>
        <v>#REF!</v>
      </c>
      <c r="Q15" s="44" t="e">
        <f>+IF(#REF!&gt;1,"SI","NO")</f>
        <v>#REF!</v>
      </c>
      <c r="R15" s="5" t="e">
        <f>+IF(#REF!&gt;1,"SI","NO")</f>
        <v>#REF!</v>
      </c>
      <c r="S15" s="5" t="e">
        <f>+IF(#REF!&gt;1,"SI","NO")</f>
        <v>#REF!</v>
      </c>
      <c r="T15" s="5" t="e">
        <f>+IF(#REF!&gt;1,"SI","NO")</f>
        <v>#REF!</v>
      </c>
      <c r="U15" s="5" t="e">
        <f>+IF(#REF!&gt;1,"SI","NO")</f>
        <v>#REF!</v>
      </c>
      <c r="V15" s="5" t="e">
        <f>+IF(#REF!&gt;1,"SI","NO")</f>
        <v>#REF!</v>
      </c>
      <c r="W15" s="44" t="e">
        <f>+IF(#REF!&gt;1,"SI","NO")</f>
        <v>#REF!</v>
      </c>
      <c r="X15" s="44" t="e">
        <f>+IF(#REF!&gt;1,"SI","NO")</f>
        <v>#REF!</v>
      </c>
      <c r="Y15" s="5" t="e">
        <f>+IF(#REF!&gt;1,"SI","NO")</f>
        <v>#REF!</v>
      </c>
      <c r="Z15" s="5" t="e">
        <f>+IF(#REF!&gt;1,"SI","NO")</f>
        <v>#REF!</v>
      </c>
      <c r="AA15" s="5" t="e">
        <f>+IF(#REF!&gt;1,"SI","NO")</f>
        <v>#REF!</v>
      </c>
      <c r="AB15" s="5" t="e">
        <f>+IF(#REF!&gt;1,"SI","NO")</f>
        <v>#REF!</v>
      </c>
      <c r="AC15" s="5" t="e">
        <f>+IF(#REF!&gt;1,"SI","NO")</f>
        <v>#REF!</v>
      </c>
      <c r="AD15" s="44" t="e">
        <f>+IF(#REF!&gt;1,"SI","NO")</f>
        <v>#REF!</v>
      </c>
      <c r="AE15" s="44" t="e">
        <f>+IF(#REF!&gt;1,"SI","NO")</f>
        <v>#REF!</v>
      </c>
      <c r="AF15" s="5" t="e">
        <f>+IF(#REF!&gt;1,"SI","NO")</f>
        <v>#REF!</v>
      </c>
      <c r="AG15" s="5" t="e">
        <f>+IF(#REF!&gt;1,"SI","NO")</f>
        <v>#REF!</v>
      </c>
      <c r="AH15" s="5" t="e">
        <f>+IF(#REF!&gt;1,"SI","NO")</f>
        <v>#REF!</v>
      </c>
      <c r="AI15" s="5" t="e">
        <f>+IF(#REF!&gt;1,"SI","NO")</f>
        <v>#REF!</v>
      </c>
      <c r="AJ15" s="44" t="e">
        <f>+IF(#REF!&gt;1,"SI","NO")</f>
        <v>#REF!</v>
      </c>
      <c r="AK15" s="5">
        <f t="shared" ref="AK15:AK25" si="1">+COUNTIF(F15:AJ15,"SI")</f>
        <v>0</v>
      </c>
      <c r="AL15" s="50">
        <f t="shared" si="0"/>
        <v>0</v>
      </c>
      <c r="AM15" s="50">
        <f t="shared" ref="AM15:AM25" si="2">+AL15/0.461310893326238</f>
        <v>0</v>
      </c>
    </row>
    <row r="16" spans="1:39" ht="19.95" customHeight="1" x14ac:dyDescent="0.3">
      <c r="A16" s="43">
        <v>3</v>
      </c>
      <c r="B16" s="1" t="s">
        <v>9</v>
      </c>
      <c r="C16" s="1" t="s">
        <v>23</v>
      </c>
      <c r="D16" s="6">
        <v>46118</v>
      </c>
      <c r="E16" s="42">
        <v>8000</v>
      </c>
      <c r="F16" s="44" t="e">
        <f>+IF(#REF!&gt;1,"SI","NO")</f>
        <v>#REF!</v>
      </c>
      <c r="G16" s="44" t="e">
        <f>+IF(#REF!&gt;1,"SI","NO")</f>
        <v>#REF!</v>
      </c>
      <c r="H16" s="44" t="e">
        <f>+IF(#REF!&gt;1,"SI","NO")</f>
        <v>#REF!</v>
      </c>
      <c r="I16" s="44" t="e">
        <f>+IF(#REF!&gt;1,"SI","NO")</f>
        <v>#REF!</v>
      </c>
      <c r="J16" s="44" t="e">
        <f>+IF(#REF!&gt;1,"SI","NO")</f>
        <v>#REF!</v>
      </c>
      <c r="K16" s="5" t="e">
        <f>+IF(#REF!&gt;1,"SI","NO")</f>
        <v>#REF!</v>
      </c>
      <c r="L16" s="5" t="e">
        <f>+IF(#REF!&gt;1,"SI","NO")</f>
        <v>#REF!</v>
      </c>
      <c r="M16" s="5" t="e">
        <f>+IF(#REF!&gt;1,"SI","NO")</f>
        <v>#REF!</v>
      </c>
      <c r="N16" s="5" t="e">
        <f>+IF(#REF!&gt;1,"SI","NO")</f>
        <v>#REF!</v>
      </c>
      <c r="O16" s="5" t="e">
        <f>+IF(#REF!&gt;1,"SI","NO")</f>
        <v>#REF!</v>
      </c>
      <c r="P16" s="44" t="e">
        <f>+IF(#REF!&gt;1,"SI","NO")</f>
        <v>#REF!</v>
      </c>
      <c r="Q16" s="44" t="e">
        <f>+IF(#REF!&gt;1,"SI","NO")</f>
        <v>#REF!</v>
      </c>
      <c r="R16" s="5" t="e">
        <f>+IF(#REF!&gt;1,"SI","NO")</f>
        <v>#REF!</v>
      </c>
      <c r="S16" s="5" t="e">
        <f>+IF(#REF!&gt;1,"SI","NO")</f>
        <v>#REF!</v>
      </c>
      <c r="T16" s="5" t="e">
        <f>+IF(#REF!&gt;1,"SI","NO")</f>
        <v>#REF!</v>
      </c>
      <c r="U16" s="5" t="e">
        <f>+IF(#REF!&gt;1,"SI","NO")</f>
        <v>#REF!</v>
      </c>
      <c r="V16" s="5" t="e">
        <f>+IF(#REF!&gt;1,"SI","NO")</f>
        <v>#REF!</v>
      </c>
      <c r="W16" s="44" t="e">
        <f>+IF(#REF!&gt;1,"SI","NO")</f>
        <v>#REF!</v>
      </c>
      <c r="X16" s="44" t="e">
        <f>+IF(#REF!&gt;1,"SI","NO")</f>
        <v>#REF!</v>
      </c>
      <c r="Y16" s="5" t="e">
        <f>+IF(#REF!&gt;1,"SI","NO")</f>
        <v>#REF!</v>
      </c>
      <c r="Z16" s="5" t="e">
        <f>+IF(#REF!&gt;1,"SI","NO")</f>
        <v>#REF!</v>
      </c>
      <c r="AA16" s="5" t="e">
        <f>+IF(#REF!&gt;1,"SI","NO")</f>
        <v>#REF!</v>
      </c>
      <c r="AB16" s="5" t="e">
        <f>+IF(#REF!&gt;1,"SI","NO")</f>
        <v>#REF!</v>
      </c>
      <c r="AC16" s="5" t="e">
        <f>+IF(#REF!&gt;1,"SI","NO")</f>
        <v>#REF!</v>
      </c>
      <c r="AD16" s="44" t="e">
        <f>+IF(#REF!&gt;1,"SI","NO")</f>
        <v>#REF!</v>
      </c>
      <c r="AE16" s="44" t="e">
        <f>+IF(#REF!&gt;1,"SI","NO")</f>
        <v>#REF!</v>
      </c>
      <c r="AF16" s="5" t="e">
        <f>+IF(#REF!&gt;1,"SI","NO")</f>
        <v>#REF!</v>
      </c>
      <c r="AG16" s="5" t="e">
        <f>+IF(#REF!&gt;1,"SI","NO")</f>
        <v>#REF!</v>
      </c>
      <c r="AH16" s="5" t="e">
        <f>+IF(#REF!&gt;1,"SI","NO")</f>
        <v>#REF!</v>
      </c>
      <c r="AI16" s="5" t="e">
        <f>+IF(#REF!&gt;1,"SI","NO")</f>
        <v>#REF!</v>
      </c>
      <c r="AJ16" s="44" t="e">
        <f>+IF(#REF!&gt;1,"SI","NO")</f>
        <v>#REF!</v>
      </c>
      <c r="AK16" s="5">
        <f t="shared" si="1"/>
        <v>0</v>
      </c>
      <c r="AL16" s="50">
        <f t="shared" si="0"/>
        <v>0</v>
      </c>
      <c r="AM16" s="50">
        <f t="shared" si="2"/>
        <v>0</v>
      </c>
    </row>
    <row r="17" spans="1:39" ht="19.95" customHeight="1" x14ac:dyDescent="0.3">
      <c r="A17" s="43">
        <v>4</v>
      </c>
      <c r="B17" s="1" t="s">
        <v>10</v>
      </c>
      <c r="C17" s="1" t="s">
        <v>24</v>
      </c>
      <c r="D17" s="6">
        <v>46126</v>
      </c>
      <c r="E17" s="42">
        <v>8000</v>
      </c>
      <c r="F17" s="44" t="e">
        <f>+IF(#REF!&gt;1,"SI","NO")</f>
        <v>#REF!</v>
      </c>
      <c r="G17" s="44" t="e">
        <f>+IF(#REF!&gt;1,"SI","NO")</f>
        <v>#REF!</v>
      </c>
      <c r="H17" s="44" t="e">
        <f>+IF(#REF!&gt;1,"SI","NO")</f>
        <v>#REF!</v>
      </c>
      <c r="I17" s="44" t="e">
        <f>+IF(#REF!&gt;1,"SI","NO")</f>
        <v>#REF!</v>
      </c>
      <c r="J17" s="44" t="e">
        <f>+IF(#REF!&gt;1,"SI","NO")</f>
        <v>#REF!</v>
      </c>
      <c r="K17" s="44" t="e">
        <f>+IF(#REF!&gt;1,"SI","NO")</f>
        <v>#REF!</v>
      </c>
      <c r="L17" s="44" t="e">
        <f>+IF(#REF!&gt;1,"SI","NO")</f>
        <v>#REF!</v>
      </c>
      <c r="M17" s="44" t="e">
        <f>+IF(#REF!&gt;1,"SI","NO")</f>
        <v>#REF!</v>
      </c>
      <c r="N17" s="44" t="e">
        <f>+IF(#REF!&gt;1,"SI","NO")</f>
        <v>#REF!</v>
      </c>
      <c r="O17" s="44" t="e">
        <f>+IF(#REF!&gt;1,"SI","NO")</f>
        <v>#REF!</v>
      </c>
      <c r="P17" s="44" t="e">
        <f>+IF(#REF!&gt;1,"SI","NO")</f>
        <v>#REF!</v>
      </c>
      <c r="Q17" s="44" t="e">
        <f>+IF(#REF!&gt;1,"SI","NO")</f>
        <v>#REF!</v>
      </c>
      <c r="R17" s="44" t="e">
        <f>+IF(#REF!&gt;1,"SI","NO")</f>
        <v>#REF!</v>
      </c>
      <c r="S17" s="5" t="e">
        <f>+IF(#REF!&gt;1,"SI","NO")</f>
        <v>#REF!</v>
      </c>
      <c r="T17" s="5" t="e">
        <f>+IF(#REF!&gt;1,"SI","NO")</f>
        <v>#REF!</v>
      </c>
      <c r="U17" s="5" t="e">
        <f>+IF(#REF!&gt;1,"SI","NO")</f>
        <v>#REF!</v>
      </c>
      <c r="V17" s="5" t="e">
        <f>+IF(#REF!&gt;1,"SI","NO")</f>
        <v>#REF!</v>
      </c>
      <c r="W17" s="44" t="e">
        <f>+IF(#REF!&gt;1,"SI","NO")</f>
        <v>#REF!</v>
      </c>
      <c r="X17" s="44" t="e">
        <f>+IF(#REF!&gt;1,"SI","NO")</f>
        <v>#REF!</v>
      </c>
      <c r="Y17" s="5" t="e">
        <f>+IF(#REF!&gt;1,"SI","NO")</f>
        <v>#REF!</v>
      </c>
      <c r="Z17" s="5" t="e">
        <f>+IF(#REF!&gt;1,"SI","NO")</f>
        <v>#REF!</v>
      </c>
      <c r="AA17" s="5" t="e">
        <f>+IF(#REF!&gt;1,"SI","NO")</f>
        <v>#REF!</v>
      </c>
      <c r="AB17" s="5" t="e">
        <f>+IF(#REF!&gt;1,"SI","NO")</f>
        <v>#REF!</v>
      </c>
      <c r="AC17" s="5" t="e">
        <f>+IF(#REF!&gt;1,"SI","NO")</f>
        <v>#REF!</v>
      </c>
      <c r="AD17" s="44" t="e">
        <f>+IF(#REF!&gt;1,"SI","NO")</f>
        <v>#REF!</v>
      </c>
      <c r="AE17" s="44" t="e">
        <f>+IF(#REF!&gt;1,"SI","NO")</f>
        <v>#REF!</v>
      </c>
      <c r="AF17" s="5" t="e">
        <f>+IF(#REF!&gt;1,"SI","NO")</f>
        <v>#REF!</v>
      </c>
      <c r="AG17" s="5" t="e">
        <f>+IF(#REF!&gt;1,"SI","NO")</f>
        <v>#REF!</v>
      </c>
      <c r="AH17" s="5" t="e">
        <f>+IF(#REF!&gt;1,"SI","NO")</f>
        <v>#REF!</v>
      </c>
      <c r="AI17" s="5" t="e">
        <f>+IF(#REF!&gt;1,"SI","NO")</f>
        <v>#REF!</v>
      </c>
      <c r="AJ17" s="44" t="e">
        <f>+IF(#REF!&gt;1,"SI","NO")</f>
        <v>#REF!</v>
      </c>
      <c r="AK17" s="5">
        <f t="shared" si="1"/>
        <v>0</v>
      </c>
      <c r="AL17" s="50">
        <f t="shared" si="0"/>
        <v>0</v>
      </c>
      <c r="AM17" s="50">
        <f t="shared" si="2"/>
        <v>0</v>
      </c>
    </row>
    <row r="18" spans="1:39" ht="19.95" customHeight="1" x14ac:dyDescent="0.3">
      <c r="A18" s="43">
        <v>5</v>
      </c>
      <c r="B18" s="1" t="s">
        <v>11</v>
      </c>
      <c r="C18" s="1" t="s">
        <v>25</v>
      </c>
      <c r="D18" s="6">
        <v>46113</v>
      </c>
      <c r="E18" s="42">
        <v>9165</v>
      </c>
      <c r="F18" s="5" t="e">
        <f>+IF(#REF!&gt;1,"SI","NO")</f>
        <v>#REF!</v>
      </c>
      <c r="G18" s="5" t="e">
        <f>+IF(#REF!&gt;1,"SI","NO")</f>
        <v>#REF!</v>
      </c>
      <c r="H18" s="5" t="e">
        <f>+IF(#REF!&gt;1,"SI","NO")</f>
        <v>#REF!</v>
      </c>
      <c r="I18" s="44" t="e">
        <f>+IF(#REF!&gt;1,"SI","NO")</f>
        <v>#REF!</v>
      </c>
      <c r="J18" s="44" t="e">
        <f>+IF(#REF!&gt;1,"SI","NO")</f>
        <v>#REF!</v>
      </c>
      <c r="K18" s="5" t="e">
        <f>+IF(#REF!&gt;1,"SI","NO")</f>
        <v>#REF!</v>
      </c>
      <c r="L18" s="5" t="e">
        <f>+IF(#REF!&gt;1,"SI","NO")</f>
        <v>#REF!</v>
      </c>
      <c r="M18" s="5" t="e">
        <f>+IF(#REF!&gt;1,"SI","NO")</f>
        <v>#REF!</v>
      </c>
      <c r="N18" s="5" t="e">
        <f>+IF(#REF!&gt;1,"SI","NO")</f>
        <v>#REF!</v>
      </c>
      <c r="O18" s="5" t="e">
        <f>+IF(#REF!&gt;1,"SI","NO")</f>
        <v>#REF!</v>
      </c>
      <c r="P18" s="44" t="e">
        <f>+IF(#REF!&gt;1,"SI","NO")</f>
        <v>#REF!</v>
      </c>
      <c r="Q18" s="44" t="e">
        <f>+IF(#REF!&gt;1,"SI","NO")</f>
        <v>#REF!</v>
      </c>
      <c r="R18" s="5" t="e">
        <f>+IF(#REF!&gt;1,"SI","NO")</f>
        <v>#REF!</v>
      </c>
      <c r="S18" s="5" t="e">
        <f>+IF(#REF!&gt;1,"SI","NO")</f>
        <v>#REF!</v>
      </c>
      <c r="T18" s="5" t="e">
        <f>+IF(#REF!&gt;1,"SI","NO")</f>
        <v>#REF!</v>
      </c>
      <c r="U18" s="5" t="e">
        <f>+IF(#REF!&gt;1,"SI","NO")</f>
        <v>#REF!</v>
      </c>
      <c r="V18" s="5" t="e">
        <f>+IF(#REF!&gt;1,"SI","NO")</f>
        <v>#REF!</v>
      </c>
      <c r="W18" s="44" t="e">
        <f>+IF(#REF!&gt;1,"SI","NO")</f>
        <v>#REF!</v>
      </c>
      <c r="X18" s="44" t="e">
        <f>+IF(#REF!&gt;1,"SI","NO")</f>
        <v>#REF!</v>
      </c>
      <c r="Y18" s="5" t="e">
        <f>+IF(#REF!&gt;1,"SI","NO")</f>
        <v>#REF!</v>
      </c>
      <c r="Z18" s="5" t="e">
        <f>+IF(#REF!&gt;1,"SI","NO")</f>
        <v>#REF!</v>
      </c>
      <c r="AA18" s="5" t="e">
        <f>+IF(#REF!&gt;1,"SI","NO")</f>
        <v>#REF!</v>
      </c>
      <c r="AB18" s="5" t="e">
        <f>+IF(#REF!&gt;1,"SI","NO")</f>
        <v>#REF!</v>
      </c>
      <c r="AC18" s="5" t="e">
        <f>+IF(#REF!&gt;1,"SI","NO")</f>
        <v>#REF!</v>
      </c>
      <c r="AD18" s="44" t="e">
        <f>+IF(#REF!&gt;1,"SI","NO")</f>
        <v>#REF!</v>
      </c>
      <c r="AE18" s="44" t="e">
        <f>+IF(#REF!&gt;1,"SI","NO")</f>
        <v>#REF!</v>
      </c>
      <c r="AF18" s="5" t="e">
        <f>+IF(#REF!&gt;1,"SI","NO")</f>
        <v>#REF!</v>
      </c>
      <c r="AG18" s="5" t="e">
        <f>+IF(#REF!&gt;1,"SI","NO")</f>
        <v>#REF!</v>
      </c>
      <c r="AH18" s="5" t="e">
        <f>+IF(#REF!&gt;1,"SI","NO")</f>
        <v>#REF!</v>
      </c>
      <c r="AI18" s="5" t="e">
        <f>+IF(#REF!&gt;1,"SI","NO")</f>
        <v>#REF!</v>
      </c>
      <c r="AJ18" s="44" t="e">
        <f>+IF(#REF!&gt;1,"SI","NO")</f>
        <v>#REF!</v>
      </c>
      <c r="AK18" s="5">
        <f t="shared" si="1"/>
        <v>0</v>
      </c>
      <c r="AL18" s="50">
        <f t="shared" si="0"/>
        <v>0</v>
      </c>
      <c r="AM18" s="50">
        <f t="shared" si="2"/>
        <v>0</v>
      </c>
    </row>
    <row r="19" spans="1:39" ht="19.95" customHeight="1" x14ac:dyDescent="0.3">
      <c r="A19" s="43">
        <v>6</v>
      </c>
      <c r="B19" s="1" t="s">
        <v>12</v>
      </c>
      <c r="C19" s="1" t="s">
        <v>26</v>
      </c>
      <c r="D19" s="6">
        <v>46119</v>
      </c>
      <c r="E19" s="42">
        <v>8485</v>
      </c>
      <c r="F19" s="5" t="e">
        <f>+IF(#REF!&gt;1,"SI","NO")</f>
        <v>#REF!</v>
      </c>
      <c r="G19" s="5" t="e">
        <f>+IF(#REF!&gt;1,"SI","NO")</f>
        <v>#REF!</v>
      </c>
      <c r="H19" s="5" t="e">
        <f>+IF(#REF!&gt;1,"SI","NO")</f>
        <v>#REF!</v>
      </c>
      <c r="I19" s="44" t="e">
        <f>+IF(#REF!&gt;1,"SI","NO")</f>
        <v>#REF!</v>
      </c>
      <c r="J19" s="44" t="e">
        <f>+IF(#REF!&gt;1,"SI","NO")</f>
        <v>#REF!</v>
      </c>
      <c r="K19" s="5" t="e">
        <f>+IF(#REF!&gt;1,"SI","NO")</f>
        <v>#REF!</v>
      </c>
      <c r="L19" s="5" t="e">
        <f>+IF(#REF!&gt;1,"SI","NO")</f>
        <v>#REF!</v>
      </c>
      <c r="M19" s="5" t="e">
        <f>+IF(#REF!&gt;1,"SI","NO")</f>
        <v>#REF!</v>
      </c>
      <c r="N19" s="5" t="e">
        <f>+IF(#REF!&gt;1,"SI","NO")</f>
        <v>#REF!</v>
      </c>
      <c r="O19" s="5" t="e">
        <f>+IF(#REF!&gt;1,"SI","NO")</f>
        <v>#REF!</v>
      </c>
      <c r="P19" s="44" t="e">
        <f>+IF(#REF!&gt;1,"SI","NO")</f>
        <v>#REF!</v>
      </c>
      <c r="Q19" s="44" t="e">
        <f>+IF(#REF!&gt;1,"SI","NO")</f>
        <v>#REF!</v>
      </c>
      <c r="R19" s="5" t="e">
        <f>+IF(#REF!&gt;1,"SI","NO")</f>
        <v>#REF!</v>
      </c>
      <c r="S19" s="5" t="e">
        <f>+IF(#REF!&gt;1,"SI","NO")</f>
        <v>#REF!</v>
      </c>
      <c r="T19" s="5" t="e">
        <f>+IF(#REF!&gt;1,"SI","NO")</f>
        <v>#REF!</v>
      </c>
      <c r="U19" s="5" t="e">
        <f>+IF(#REF!&gt;1,"SI","NO")</f>
        <v>#REF!</v>
      </c>
      <c r="V19" s="5" t="e">
        <f>+IF(#REF!&gt;1,"SI","NO")</f>
        <v>#REF!</v>
      </c>
      <c r="W19" s="44" t="e">
        <f>+IF(#REF!&gt;1,"SI","NO")</f>
        <v>#REF!</v>
      </c>
      <c r="X19" s="44" t="e">
        <f>+IF(#REF!&gt;1,"SI","NO")</f>
        <v>#REF!</v>
      </c>
      <c r="Y19" s="5" t="e">
        <f>+IF(#REF!&gt;1,"SI","NO")</f>
        <v>#REF!</v>
      </c>
      <c r="Z19" s="5" t="e">
        <f>+IF(#REF!&gt;1,"SI","NO")</f>
        <v>#REF!</v>
      </c>
      <c r="AA19" s="5" t="e">
        <f>+IF(#REF!&gt;1,"SI","NO")</f>
        <v>#REF!</v>
      </c>
      <c r="AB19" s="5" t="e">
        <f>+IF(#REF!&gt;1,"SI","NO")</f>
        <v>#REF!</v>
      </c>
      <c r="AC19" s="5" t="e">
        <f>+IF(#REF!&gt;1,"SI","NO")</f>
        <v>#REF!</v>
      </c>
      <c r="AD19" s="44" t="e">
        <f>+IF(#REF!&gt;1,"SI","NO")</f>
        <v>#REF!</v>
      </c>
      <c r="AE19" s="44" t="e">
        <f>+IF(#REF!&gt;1,"SI","NO")</f>
        <v>#REF!</v>
      </c>
      <c r="AF19" s="5" t="e">
        <f>+IF(#REF!&gt;1,"SI","NO")</f>
        <v>#REF!</v>
      </c>
      <c r="AG19" s="5" t="e">
        <f>+IF(#REF!&gt;1,"SI","NO")</f>
        <v>#REF!</v>
      </c>
      <c r="AH19" s="5" t="e">
        <f>+IF(#REF!&gt;1,"SI","NO")</f>
        <v>#REF!</v>
      </c>
      <c r="AI19" s="5" t="e">
        <f>+IF(#REF!&gt;1,"SI","NO")</f>
        <v>#REF!</v>
      </c>
      <c r="AJ19" s="44" t="e">
        <f>+IF(#REF!&gt;1,"SI","NO")</f>
        <v>#REF!</v>
      </c>
      <c r="AK19" s="5">
        <f t="shared" si="1"/>
        <v>0</v>
      </c>
      <c r="AL19" s="50">
        <f t="shared" si="0"/>
        <v>0</v>
      </c>
      <c r="AM19" s="50">
        <f t="shared" si="2"/>
        <v>0</v>
      </c>
    </row>
    <row r="20" spans="1:39" ht="19.95" customHeight="1" x14ac:dyDescent="0.3">
      <c r="A20" s="43">
        <v>7</v>
      </c>
      <c r="B20" s="1" t="s">
        <v>13</v>
      </c>
      <c r="C20" s="1" t="s">
        <v>27</v>
      </c>
      <c r="D20" s="6">
        <v>46113</v>
      </c>
      <c r="E20" s="42">
        <v>8485</v>
      </c>
      <c r="F20" s="5" t="e">
        <f>+IF(#REF!&gt;1,"SI","NO")</f>
        <v>#REF!</v>
      </c>
      <c r="G20" s="5" t="e">
        <f>+IF(#REF!&gt;1,"SI","NO")</f>
        <v>#REF!</v>
      </c>
      <c r="H20" s="5" t="e">
        <f>+IF(#REF!&gt;1,"SI","NO")</f>
        <v>#REF!</v>
      </c>
      <c r="I20" s="44" t="e">
        <f>+IF(#REF!&gt;1,"SI","NO")</f>
        <v>#REF!</v>
      </c>
      <c r="J20" s="44" t="e">
        <f>+IF(#REF!&gt;1,"SI","NO")</f>
        <v>#REF!</v>
      </c>
      <c r="K20" s="5" t="e">
        <f>+IF(#REF!&gt;1,"SI","NO")</f>
        <v>#REF!</v>
      </c>
      <c r="L20" s="5" t="e">
        <f>+IF(#REF!&gt;1,"SI","NO")</f>
        <v>#REF!</v>
      </c>
      <c r="M20" s="5" t="e">
        <f>+IF(#REF!&gt;1,"SI","NO")</f>
        <v>#REF!</v>
      </c>
      <c r="N20" s="5" t="e">
        <f>+IF(#REF!&gt;1,"SI","NO")</f>
        <v>#REF!</v>
      </c>
      <c r="O20" s="5" t="e">
        <f>+IF(#REF!&gt;1,"SI","NO")</f>
        <v>#REF!</v>
      </c>
      <c r="P20" s="44" t="e">
        <f>+IF(#REF!&gt;1,"SI","NO")</f>
        <v>#REF!</v>
      </c>
      <c r="Q20" s="44" t="e">
        <f>+IF(#REF!&gt;1,"SI","NO")</f>
        <v>#REF!</v>
      </c>
      <c r="R20" s="5" t="e">
        <f>+IF(#REF!&gt;1,"SI","NO")</f>
        <v>#REF!</v>
      </c>
      <c r="S20" s="5" t="e">
        <f>+IF(#REF!&gt;1,"SI","NO")</f>
        <v>#REF!</v>
      </c>
      <c r="T20" s="5" t="e">
        <f>+IF(#REF!&gt;1,"SI","NO")</f>
        <v>#REF!</v>
      </c>
      <c r="U20" s="5" t="e">
        <f>+IF(#REF!&gt;1,"SI","NO")</f>
        <v>#REF!</v>
      </c>
      <c r="V20" s="5" t="e">
        <f>+IF(#REF!&gt;1,"SI","NO")</f>
        <v>#REF!</v>
      </c>
      <c r="W20" s="44" t="e">
        <f>+IF(#REF!&gt;1,"SI","NO")</f>
        <v>#REF!</v>
      </c>
      <c r="X20" s="44" t="e">
        <f>+IF(#REF!&gt;1,"SI","NO")</f>
        <v>#REF!</v>
      </c>
      <c r="Y20" s="5" t="e">
        <f>+IF(#REF!&gt;1,"SI","NO")</f>
        <v>#REF!</v>
      </c>
      <c r="Z20" s="5" t="e">
        <f>+IF(#REF!&gt;1,"SI","NO")</f>
        <v>#REF!</v>
      </c>
      <c r="AA20" s="5" t="e">
        <f>+IF(#REF!&gt;1,"SI","NO")</f>
        <v>#REF!</v>
      </c>
      <c r="AB20" s="5" t="e">
        <f>+IF(#REF!&gt;1,"SI","NO")</f>
        <v>#REF!</v>
      </c>
      <c r="AC20" s="5" t="e">
        <f>+IF(#REF!&gt;1,"SI","NO")</f>
        <v>#REF!</v>
      </c>
      <c r="AD20" s="44" t="e">
        <f>+IF(#REF!&gt;1,"SI","NO")</f>
        <v>#REF!</v>
      </c>
      <c r="AE20" s="44" t="e">
        <f>+IF(#REF!&gt;1,"SI","NO")</f>
        <v>#REF!</v>
      </c>
      <c r="AF20" s="5" t="e">
        <f>+IF(#REF!&gt;1,"SI","NO")</f>
        <v>#REF!</v>
      </c>
      <c r="AG20" s="5" t="e">
        <f>+IF(#REF!&gt;1,"SI","NO")</f>
        <v>#REF!</v>
      </c>
      <c r="AH20" s="5" t="e">
        <f>+IF(#REF!&gt;1,"SI","NO")</f>
        <v>#REF!</v>
      </c>
      <c r="AI20" s="5" t="e">
        <f>+IF(#REF!&gt;1,"SI","NO")</f>
        <v>#REF!</v>
      </c>
      <c r="AJ20" s="44" t="e">
        <f>+IF(#REF!&gt;1,"SI","NO")</f>
        <v>#REF!</v>
      </c>
      <c r="AK20" s="5">
        <f t="shared" si="1"/>
        <v>0</v>
      </c>
      <c r="AL20" s="50">
        <f t="shared" si="0"/>
        <v>0</v>
      </c>
      <c r="AM20" s="50">
        <f t="shared" si="2"/>
        <v>0</v>
      </c>
    </row>
    <row r="21" spans="1:39" ht="19.95" customHeight="1" x14ac:dyDescent="0.3">
      <c r="A21" s="43">
        <v>8</v>
      </c>
      <c r="B21" s="1" t="s">
        <v>14</v>
      </c>
      <c r="C21" s="1" t="s">
        <v>28</v>
      </c>
      <c r="D21" s="6">
        <v>46113</v>
      </c>
      <c r="E21" s="42">
        <v>9165</v>
      </c>
      <c r="F21" s="5" t="e">
        <f>+IF(#REF!&gt;1,"SI","NO")</f>
        <v>#REF!</v>
      </c>
      <c r="G21" s="5" t="e">
        <f>+IF(#REF!&gt;1,"SI","NO")</f>
        <v>#REF!</v>
      </c>
      <c r="H21" s="5" t="e">
        <f>+IF(#REF!&gt;1,"SI","NO")</f>
        <v>#REF!</v>
      </c>
      <c r="I21" s="44" t="e">
        <f>+IF(#REF!&gt;1,"SI","NO")</f>
        <v>#REF!</v>
      </c>
      <c r="J21" s="44" t="e">
        <f>+IF(#REF!&gt;1,"SI","NO")</f>
        <v>#REF!</v>
      </c>
      <c r="K21" s="5" t="e">
        <f>+IF(#REF!&gt;1,"SI","NO")</f>
        <v>#REF!</v>
      </c>
      <c r="L21" s="5" t="e">
        <f>+IF(#REF!&gt;1,"SI","NO")</f>
        <v>#REF!</v>
      </c>
      <c r="M21" s="5" t="e">
        <f>+IF(#REF!&gt;1,"SI","NO")</f>
        <v>#REF!</v>
      </c>
      <c r="N21" s="5" t="e">
        <f>+IF(#REF!&gt;1,"SI","NO")</f>
        <v>#REF!</v>
      </c>
      <c r="O21" s="5" t="e">
        <f>+IF(#REF!&gt;1,"SI","NO")</f>
        <v>#REF!</v>
      </c>
      <c r="P21" s="44" t="e">
        <f>+IF(#REF!&gt;1,"SI","NO")</f>
        <v>#REF!</v>
      </c>
      <c r="Q21" s="44" t="e">
        <f>+IF(#REF!&gt;1,"SI","NO")</f>
        <v>#REF!</v>
      </c>
      <c r="R21" s="5" t="e">
        <f>+IF(#REF!&gt;1,"SI","NO")</f>
        <v>#REF!</v>
      </c>
      <c r="S21" s="5" t="e">
        <f>+IF(#REF!&gt;1,"SI","NO")</f>
        <v>#REF!</v>
      </c>
      <c r="T21" s="5" t="e">
        <f>+IF(#REF!&gt;1,"SI","NO")</f>
        <v>#REF!</v>
      </c>
      <c r="U21" s="5" t="e">
        <f>+IF(#REF!&gt;1,"SI","NO")</f>
        <v>#REF!</v>
      </c>
      <c r="V21" s="5" t="e">
        <f>+IF(#REF!&gt;1,"SI","NO")</f>
        <v>#REF!</v>
      </c>
      <c r="W21" s="44" t="e">
        <f>+IF(#REF!&gt;1,"SI","NO")</f>
        <v>#REF!</v>
      </c>
      <c r="X21" s="44" t="e">
        <f>+IF(#REF!&gt;1,"SI","NO")</f>
        <v>#REF!</v>
      </c>
      <c r="Y21" s="5" t="e">
        <f>+IF(#REF!&gt;1,"SI","NO")</f>
        <v>#REF!</v>
      </c>
      <c r="Z21" s="5" t="e">
        <f>+IF(#REF!&gt;1,"SI","NO")</f>
        <v>#REF!</v>
      </c>
      <c r="AA21" s="5" t="e">
        <f>+IF(#REF!&gt;1,"SI","NO")</f>
        <v>#REF!</v>
      </c>
      <c r="AB21" s="5" t="e">
        <f>+IF(#REF!&gt;1,"SI","NO")</f>
        <v>#REF!</v>
      </c>
      <c r="AC21" s="5" t="e">
        <f>+IF(#REF!&gt;1,"SI","NO")</f>
        <v>#REF!</v>
      </c>
      <c r="AD21" s="44" t="e">
        <f>+IF(#REF!&gt;1,"SI","NO")</f>
        <v>#REF!</v>
      </c>
      <c r="AE21" s="44" t="e">
        <f>+IF(#REF!&gt;1,"SI","NO")</f>
        <v>#REF!</v>
      </c>
      <c r="AF21" s="5" t="e">
        <f>+IF(#REF!&gt;1,"SI","NO")</f>
        <v>#REF!</v>
      </c>
      <c r="AG21" s="5" t="e">
        <f>+IF(#REF!&gt;1,"SI","NO")</f>
        <v>#REF!</v>
      </c>
      <c r="AH21" s="5" t="e">
        <f>+IF(#REF!&gt;1,"SI","NO")</f>
        <v>#REF!</v>
      </c>
      <c r="AI21" s="5" t="e">
        <f>+IF(#REF!&gt;1,"SI","NO")</f>
        <v>#REF!</v>
      </c>
      <c r="AJ21" s="44" t="e">
        <f>+IF(#REF!&gt;1,"SI","NO")</f>
        <v>#REF!</v>
      </c>
      <c r="AK21" s="5">
        <f t="shared" si="1"/>
        <v>0</v>
      </c>
      <c r="AL21" s="50">
        <f t="shared" si="0"/>
        <v>0</v>
      </c>
      <c r="AM21" s="50">
        <f t="shared" si="2"/>
        <v>0</v>
      </c>
    </row>
    <row r="22" spans="1:39" ht="19.95" customHeight="1" x14ac:dyDescent="0.3">
      <c r="A22" s="43">
        <v>9</v>
      </c>
      <c r="B22" s="1" t="s">
        <v>15</v>
      </c>
      <c r="C22" s="1" t="s">
        <v>29</v>
      </c>
      <c r="D22" s="6">
        <v>46113</v>
      </c>
      <c r="E22" s="42">
        <v>9165</v>
      </c>
      <c r="F22" s="5" t="e">
        <f>+IF(#REF!&gt;1,"SI","NO")</f>
        <v>#REF!</v>
      </c>
      <c r="G22" s="5" t="e">
        <f>+IF(#REF!&gt;1,"SI","NO")</f>
        <v>#REF!</v>
      </c>
      <c r="H22" s="5" t="e">
        <f>+IF(#REF!&gt;1,"SI","NO")</f>
        <v>#REF!</v>
      </c>
      <c r="I22" s="44" t="e">
        <f>+IF(#REF!&gt;1,"SI","NO")</f>
        <v>#REF!</v>
      </c>
      <c r="J22" s="44" t="e">
        <f>+IF(#REF!&gt;1,"SI","NO")</f>
        <v>#REF!</v>
      </c>
      <c r="K22" s="5" t="e">
        <f>+IF(#REF!&gt;1,"SI","NO")</f>
        <v>#REF!</v>
      </c>
      <c r="L22" s="5" t="e">
        <f>+IF(#REF!&gt;1,"SI","NO")</f>
        <v>#REF!</v>
      </c>
      <c r="M22" s="5" t="e">
        <f>+IF(#REF!&gt;1,"SI","NO")</f>
        <v>#REF!</v>
      </c>
      <c r="N22" s="5" t="e">
        <f>+IF(#REF!&gt;1,"SI","NO")</f>
        <v>#REF!</v>
      </c>
      <c r="O22" s="5" t="e">
        <f>+IF(#REF!&gt;1,"SI","NO")</f>
        <v>#REF!</v>
      </c>
      <c r="P22" s="44" t="e">
        <f>+IF(#REF!&gt;1,"SI","NO")</f>
        <v>#REF!</v>
      </c>
      <c r="Q22" s="44" t="e">
        <f>+IF(#REF!&gt;1,"SI","NO")</f>
        <v>#REF!</v>
      </c>
      <c r="R22" s="5" t="e">
        <f>+IF(#REF!&gt;1,"SI","NO")</f>
        <v>#REF!</v>
      </c>
      <c r="S22" s="5" t="e">
        <f>+IF(#REF!&gt;1,"SI","NO")</f>
        <v>#REF!</v>
      </c>
      <c r="T22" s="5" t="e">
        <f>+IF(#REF!&gt;1,"SI","NO")</f>
        <v>#REF!</v>
      </c>
      <c r="U22" s="5" t="e">
        <f>+IF(#REF!&gt;1,"SI","NO")</f>
        <v>#REF!</v>
      </c>
      <c r="V22" s="5" t="e">
        <f>+IF(#REF!&gt;1,"SI","NO")</f>
        <v>#REF!</v>
      </c>
      <c r="W22" s="44" t="e">
        <f>+IF(#REF!&gt;1,"SI","NO")</f>
        <v>#REF!</v>
      </c>
      <c r="X22" s="44" t="e">
        <f>+IF(#REF!&gt;1,"SI","NO")</f>
        <v>#REF!</v>
      </c>
      <c r="Y22" s="5" t="e">
        <f>+IF(#REF!&gt;1,"SI","NO")</f>
        <v>#REF!</v>
      </c>
      <c r="Z22" s="5" t="e">
        <f>+IF(#REF!&gt;1,"SI","NO")</f>
        <v>#REF!</v>
      </c>
      <c r="AA22" s="5" t="e">
        <f>+IF(#REF!&gt;1,"SI","NO")</f>
        <v>#REF!</v>
      </c>
      <c r="AB22" s="5" t="e">
        <f>+IF(#REF!&gt;1,"SI","NO")</f>
        <v>#REF!</v>
      </c>
      <c r="AC22" s="5" t="e">
        <f>+IF(#REF!&gt;1,"SI","NO")</f>
        <v>#REF!</v>
      </c>
      <c r="AD22" s="44" t="e">
        <f>+IF(#REF!&gt;1,"SI","NO")</f>
        <v>#REF!</v>
      </c>
      <c r="AE22" s="44" t="e">
        <f>+IF(#REF!&gt;1,"SI","NO")</f>
        <v>#REF!</v>
      </c>
      <c r="AF22" s="5" t="e">
        <f>+IF(#REF!&gt;1,"SI","NO")</f>
        <v>#REF!</v>
      </c>
      <c r="AG22" s="5" t="e">
        <f>+IF(#REF!&gt;1,"SI","NO")</f>
        <v>#REF!</v>
      </c>
      <c r="AH22" s="5" t="e">
        <f>+IF(#REF!&gt;1,"SI","NO")</f>
        <v>#REF!</v>
      </c>
      <c r="AI22" s="5" t="e">
        <f>+IF(#REF!&gt;1,"SI","NO")</f>
        <v>#REF!</v>
      </c>
      <c r="AJ22" s="44" t="e">
        <f>+IF(#REF!&gt;1,"SI","NO")</f>
        <v>#REF!</v>
      </c>
      <c r="AK22" s="5">
        <f t="shared" si="1"/>
        <v>0</v>
      </c>
      <c r="AL22" s="50">
        <f t="shared" si="0"/>
        <v>0</v>
      </c>
      <c r="AM22" s="50">
        <f t="shared" si="2"/>
        <v>0</v>
      </c>
    </row>
    <row r="23" spans="1:39" ht="19.95" customHeight="1" x14ac:dyDescent="0.3">
      <c r="A23" s="43">
        <v>10</v>
      </c>
      <c r="B23" s="1" t="s">
        <v>16</v>
      </c>
      <c r="C23" s="1" t="s">
        <v>30</v>
      </c>
      <c r="D23" s="6">
        <v>46113</v>
      </c>
      <c r="E23" s="42">
        <v>16240</v>
      </c>
      <c r="F23" s="5" t="e">
        <f>+IF(#REF!&gt;1,"SI","NO")</f>
        <v>#REF!</v>
      </c>
      <c r="G23" s="5" t="e">
        <f>+IF(#REF!&gt;1,"SI","NO")</f>
        <v>#REF!</v>
      </c>
      <c r="H23" s="5" t="e">
        <f>+IF(#REF!&gt;1,"SI","NO")</f>
        <v>#REF!</v>
      </c>
      <c r="I23" s="44" t="e">
        <f>+IF(#REF!&gt;1,"SI","NO")</f>
        <v>#REF!</v>
      </c>
      <c r="J23" s="44" t="e">
        <f>+IF(#REF!&gt;1,"SI","NO")</f>
        <v>#REF!</v>
      </c>
      <c r="K23" s="5" t="e">
        <f>+IF(#REF!&gt;1,"SI","NO")</f>
        <v>#REF!</v>
      </c>
      <c r="L23" s="5" t="e">
        <f>+IF(#REF!&gt;1,"SI","NO")</f>
        <v>#REF!</v>
      </c>
      <c r="M23" s="5" t="e">
        <f>+IF(#REF!&gt;1,"SI","NO")</f>
        <v>#REF!</v>
      </c>
      <c r="N23" s="5" t="e">
        <f>+IF(#REF!&gt;1,"SI","NO")</f>
        <v>#REF!</v>
      </c>
      <c r="O23" s="5" t="e">
        <f>+IF(#REF!&gt;1,"SI","NO")</f>
        <v>#REF!</v>
      </c>
      <c r="P23" s="44" t="e">
        <f>+IF(#REF!&gt;1,"SI","NO")</f>
        <v>#REF!</v>
      </c>
      <c r="Q23" s="44" t="e">
        <f>+IF(#REF!&gt;1,"SI","NO")</f>
        <v>#REF!</v>
      </c>
      <c r="R23" s="5" t="e">
        <f>+IF(#REF!&gt;1,"SI","NO")</f>
        <v>#REF!</v>
      </c>
      <c r="S23" s="5" t="e">
        <f>+IF(#REF!&gt;1,"SI","NO")</f>
        <v>#REF!</v>
      </c>
      <c r="T23" s="5" t="e">
        <f>+IF(#REF!&gt;1,"SI","NO")</f>
        <v>#REF!</v>
      </c>
      <c r="U23" s="5" t="e">
        <f>+IF(#REF!&gt;1,"SI","NO")</f>
        <v>#REF!</v>
      </c>
      <c r="V23" s="5" t="e">
        <f>+IF(#REF!&gt;1,"SI","NO")</f>
        <v>#REF!</v>
      </c>
      <c r="W23" s="44" t="e">
        <f>+IF(#REF!&gt;1,"SI","NO")</f>
        <v>#REF!</v>
      </c>
      <c r="X23" s="44" t="e">
        <f>+IF(#REF!&gt;1,"SI","NO")</f>
        <v>#REF!</v>
      </c>
      <c r="Y23" s="5" t="e">
        <f>+IF(#REF!&gt;1,"SI","NO")</f>
        <v>#REF!</v>
      </c>
      <c r="Z23" s="5" t="e">
        <f>+IF(#REF!&gt;1,"SI","NO")</f>
        <v>#REF!</v>
      </c>
      <c r="AA23" s="5" t="e">
        <f>+IF(#REF!&gt;1,"SI","NO")</f>
        <v>#REF!</v>
      </c>
      <c r="AB23" s="5" t="e">
        <f>+IF(#REF!&gt;1,"SI","NO")</f>
        <v>#REF!</v>
      </c>
      <c r="AC23" s="5" t="e">
        <f>+IF(#REF!&gt;1,"SI","NO")</f>
        <v>#REF!</v>
      </c>
      <c r="AD23" s="44" t="e">
        <f>+IF(#REF!&gt;1,"SI","NO")</f>
        <v>#REF!</v>
      </c>
      <c r="AE23" s="44" t="e">
        <f>+IF(#REF!&gt;1,"SI","NO")</f>
        <v>#REF!</v>
      </c>
      <c r="AF23" s="5" t="e">
        <f>+IF(#REF!&gt;1,"SI","NO")</f>
        <v>#REF!</v>
      </c>
      <c r="AG23" s="5" t="e">
        <f>+IF(#REF!&gt;1,"SI","NO")</f>
        <v>#REF!</v>
      </c>
      <c r="AH23" s="5" t="e">
        <f>+IF(#REF!&gt;1,"SI","NO")</f>
        <v>#REF!</v>
      </c>
      <c r="AI23" s="5" t="e">
        <f>+IF(#REF!&gt;1,"SI","NO")</f>
        <v>#REF!</v>
      </c>
      <c r="AJ23" s="44" t="e">
        <f>+IF(#REF!&gt;1,"SI","NO")</f>
        <v>#REF!</v>
      </c>
      <c r="AK23" s="5">
        <f t="shared" si="1"/>
        <v>0</v>
      </c>
      <c r="AL23" s="50">
        <f t="shared" si="0"/>
        <v>0</v>
      </c>
      <c r="AM23" s="50">
        <f t="shared" si="2"/>
        <v>0</v>
      </c>
    </row>
    <row r="24" spans="1:39" ht="19.95" customHeight="1" x14ac:dyDescent="0.3">
      <c r="A24" s="43">
        <v>11</v>
      </c>
      <c r="B24" s="1" t="s">
        <v>17</v>
      </c>
      <c r="C24" s="1" t="s">
        <v>30</v>
      </c>
      <c r="D24" s="6">
        <v>46113</v>
      </c>
      <c r="E24" s="42">
        <v>12483</v>
      </c>
      <c r="F24" s="5" t="e">
        <f>+IF(#REF!&gt;1,"SI","NO")</f>
        <v>#REF!</v>
      </c>
      <c r="G24" s="5" t="e">
        <f>+IF(#REF!&gt;1,"SI","NO")</f>
        <v>#REF!</v>
      </c>
      <c r="H24" s="5" t="e">
        <f>+IF(#REF!&gt;1,"SI","NO")</f>
        <v>#REF!</v>
      </c>
      <c r="I24" s="44" t="e">
        <f>+IF(#REF!&gt;1,"SI","NO")</f>
        <v>#REF!</v>
      </c>
      <c r="J24" s="44" t="e">
        <f>+IF(#REF!&gt;1,"SI","NO")</f>
        <v>#REF!</v>
      </c>
      <c r="K24" s="5" t="e">
        <f>+IF(#REF!&gt;1,"SI","NO")</f>
        <v>#REF!</v>
      </c>
      <c r="L24" s="5" t="e">
        <f>+IF(#REF!&gt;1,"SI","NO")</f>
        <v>#REF!</v>
      </c>
      <c r="M24" s="5" t="e">
        <f>+IF(#REF!&gt;1,"SI","NO")</f>
        <v>#REF!</v>
      </c>
      <c r="N24" s="5" t="e">
        <f>+IF(#REF!&gt;1,"SI","NO")</f>
        <v>#REF!</v>
      </c>
      <c r="O24" s="5" t="e">
        <f>+IF(#REF!&gt;1,"SI","NO")</f>
        <v>#REF!</v>
      </c>
      <c r="P24" s="44" t="e">
        <f>+IF(#REF!&gt;1,"SI","NO")</f>
        <v>#REF!</v>
      </c>
      <c r="Q24" s="44" t="e">
        <f>+IF(#REF!&gt;1,"SI","NO")</f>
        <v>#REF!</v>
      </c>
      <c r="R24" s="5" t="e">
        <f>+IF(#REF!&gt;1,"SI","NO")</f>
        <v>#REF!</v>
      </c>
      <c r="S24" s="5" t="e">
        <f>+IF(#REF!&gt;1,"SI","NO")</f>
        <v>#REF!</v>
      </c>
      <c r="T24" s="5" t="e">
        <f>+IF(#REF!&gt;1,"SI","NO")</f>
        <v>#REF!</v>
      </c>
      <c r="U24" s="5" t="e">
        <f>+IF(#REF!&gt;1,"SI","NO")</f>
        <v>#REF!</v>
      </c>
      <c r="V24" s="5" t="e">
        <f>+IF(#REF!&gt;1,"SI","NO")</f>
        <v>#REF!</v>
      </c>
      <c r="W24" s="44" t="e">
        <f>+IF(#REF!&gt;1,"SI","NO")</f>
        <v>#REF!</v>
      </c>
      <c r="X24" s="44" t="e">
        <f>+IF(#REF!&gt;1,"SI","NO")</f>
        <v>#REF!</v>
      </c>
      <c r="Y24" s="5" t="e">
        <f>+IF(#REF!&gt;1,"SI","NO")</f>
        <v>#REF!</v>
      </c>
      <c r="Z24" s="5" t="e">
        <f>+IF(#REF!&gt;1,"SI","NO")</f>
        <v>#REF!</v>
      </c>
      <c r="AA24" s="5" t="e">
        <f>+IF(#REF!&gt;1,"SI","NO")</f>
        <v>#REF!</v>
      </c>
      <c r="AB24" s="5" t="e">
        <f>+IF(#REF!&gt;1,"SI","NO")</f>
        <v>#REF!</v>
      </c>
      <c r="AC24" s="5" t="e">
        <f>+IF(#REF!&gt;1,"SI","NO")</f>
        <v>#REF!</v>
      </c>
      <c r="AD24" s="44" t="e">
        <f>+IF(#REF!&gt;1,"SI","NO")</f>
        <v>#REF!</v>
      </c>
      <c r="AE24" s="44" t="e">
        <f>+IF(#REF!&gt;1,"SI","NO")</f>
        <v>#REF!</v>
      </c>
      <c r="AF24" s="5" t="e">
        <f>+IF(#REF!&gt;1,"SI","NO")</f>
        <v>#REF!</v>
      </c>
      <c r="AG24" s="5" t="e">
        <f>+IF(#REF!&gt;1,"SI","NO")</f>
        <v>#REF!</v>
      </c>
      <c r="AH24" s="5" t="e">
        <f>+IF(#REF!&gt;1,"SI","NO")</f>
        <v>#REF!</v>
      </c>
      <c r="AI24" s="5" t="e">
        <f>+IF(#REF!&gt;1,"SI","NO")</f>
        <v>#REF!</v>
      </c>
      <c r="AJ24" s="44" t="e">
        <f>+IF(#REF!&gt;1,"SI","NO")</f>
        <v>#REF!</v>
      </c>
      <c r="AK24" s="5">
        <f t="shared" si="1"/>
        <v>0</v>
      </c>
      <c r="AL24" s="50">
        <f t="shared" si="0"/>
        <v>0</v>
      </c>
      <c r="AM24" s="50">
        <f t="shared" si="2"/>
        <v>0</v>
      </c>
    </row>
    <row r="25" spans="1:39" ht="19.95" customHeight="1" x14ac:dyDescent="0.3">
      <c r="A25" s="43">
        <v>12</v>
      </c>
      <c r="B25" s="1" t="s">
        <v>18</v>
      </c>
      <c r="C25" s="1" t="s">
        <v>31</v>
      </c>
      <c r="D25" s="6">
        <v>46113</v>
      </c>
      <c r="E25" s="42">
        <v>3808</v>
      </c>
      <c r="F25" s="5" t="e">
        <f>+IF(#REF!&gt;1,"SI","NO")</f>
        <v>#REF!</v>
      </c>
      <c r="G25" s="5" t="e">
        <f>+IF(#REF!&gt;1,"SI","NO")</f>
        <v>#REF!</v>
      </c>
      <c r="H25" s="5" t="e">
        <f>+IF(#REF!&gt;1,"SI","NO")</f>
        <v>#REF!</v>
      </c>
      <c r="I25" s="44" t="e">
        <f>+IF(#REF!&gt;1,"SI","NO")</f>
        <v>#REF!</v>
      </c>
      <c r="J25" s="44" t="e">
        <f>+IF(#REF!&gt;1,"SI","NO")</f>
        <v>#REF!</v>
      </c>
      <c r="K25" s="5" t="e">
        <f>+IF(#REF!&gt;1,"SI","NO")</f>
        <v>#REF!</v>
      </c>
      <c r="L25" s="5" t="e">
        <f>+IF(#REF!&gt;1,"SI","NO")</f>
        <v>#REF!</v>
      </c>
      <c r="M25" s="5" t="e">
        <f>+IF(#REF!&gt;1,"SI","NO")</f>
        <v>#REF!</v>
      </c>
      <c r="N25" s="5" t="e">
        <f>+IF(#REF!&gt;1,"SI","NO")</f>
        <v>#REF!</v>
      </c>
      <c r="O25" s="5" t="e">
        <f>+IF(#REF!&gt;1,"SI","NO")</f>
        <v>#REF!</v>
      </c>
      <c r="P25" s="44" t="e">
        <f>+IF(#REF!&gt;1,"SI","NO")</f>
        <v>#REF!</v>
      </c>
      <c r="Q25" s="44" t="e">
        <f>+IF(#REF!&gt;1,"SI","NO")</f>
        <v>#REF!</v>
      </c>
      <c r="R25" s="5" t="e">
        <f>+IF(#REF!&gt;1,"SI","NO")</f>
        <v>#REF!</v>
      </c>
      <c r="S25" s="5" t="e">
        <f>+IF(#REF!&gt;1,"SI","NO")</f>
        <v>#REF!</v>
      </c>
      <c r="T25" s="5" t="e">
        <f>+IF(#REF!&gt;1,"SI","NO")</f>
        <v>#REF!</v>
      </c>
      <c r="U25" s="5" t="e">
        <f>+IF(#REF!&gt;1,"SI","NO")</f>
        <v>#REF!</v>
      </c>
      <c r="V25" s="5" t="e">
        <f>+IF(#REF!&gt;1,"SI","NO")</f>
        <v>#REF!</v>
      </c>
      <c r="W25" s="44" t="e">
        <f>+IF(#REF!&gt;1,"SI","NO")</f>
        <v>#REF!</v>
      </c>
      <c r="X25" s="44" t="e">
        <f>+IF(#REF!&gt;1,"SI","NO")</f>
        <v>#REF!</v>
      </c>
      <c r="Y25" s="5" t="e">
        <f>+IF(#REF!&gt;1,"SI","NO")</f>
        <v>#REF!</v>
      </c>
      <c r="Z25" s="5" t="e">
        <f>+IF(#REF!&gt;1,"SI","NO")</f>
        <v>#REF!</v>
      </c>
      <c r="AA25" s="5" t="e">
        <f>+IF(#REF!&gt;1,"SI","NO")</f>
        <v>#REF!</v>
      </c>
      <c r="AB25" s="5" t="e">
        <f>+IF(#REF!&gt;1,"SI","NO")</f>
        <v>#REF!</v>
      </c>
      <c r="AC25" s="5" t="e">
        <f>+IF(#REF!&gt;1,"SI","NO")</f>
        <v>#REF!</v>
      </c>
      <c r="AD25" s="44" t="e">
        <f>+IF(#REF!&gt;1,"SI","NO")</f>
        <v>#REF!</v>
      </c>
      <c r="AE25" s="44" t="e">
        <f>+IF(#REF!&gt;1,"SI","NO")</f>
        <v>#REF!</v>
      </c>
      <c r="AF25" s="5" t="e">
        <f>+IF(#REF!&gt;1,"SI","NO")</f>
        <v>#REF!</v>
      </c>
      <c r="AG25" s="5" t="e">
        <f>+IF(#REF!&gt;1,"SI","NO")</f>
        <v>#REF!</v>
      </c>
      <c r="AH25" s="5" t="e">
        <f>+IF(#REF!&gt;1,"SI","NO")</f>
        <v>#REF!</v>
      </c>
      <c r="AI25" s="5" t="e">
        <f>+IF(#REF!&gt;1,"SI","NO")</f>
        <v>#REF!</v>
      </c>
      <c r="AJ25" s="44" t="e">
        <f>+IF(#REF!&gt;1,"SI","NO")</f>
        <v>#REF!</v>
      </c>
      <c r="AK25" s="5">
        <f t="shared" si="1"/>
        <v>0</v>
      </c>
      <c r="AL25" s="50">
        <f t="shared" si="0"/>
        <v>0</v>
      </c>
      <c r="AM25" s="50">
        <f t="shared" si="2"/>
        <v>0</v>
      </c>
    </row>
    <row r="26" spans="1:39" ht="22.2" customHeight="1" x14ac:dyDescent="0.3">
      <c r="AM26" s="49">
        <f>SUM(AM14:AM25)</f>
        <v>20593.487250000017</v>
      </c>
    </row>
    <row r="27" spans="1:39" ht="16.8" customHeight="1" x14ac:dyDescent="0.3">
      <c r="AM27" s="54"/>
    </row>
    <row r="28" spans="1:39" ht="31.2" x14ac:dyDescent="0.6">
      <c r="A28" s="71" t="s">
        <v>133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3"/>
      <c r="U28" s="72" t="s">
        <v>138</v>
      </c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3"/>
    </row>
    <row r="29" spans="1:39" ht="6" customHeight="1" x14ac:dyDescent="0.3">
      <c r="AM29" s="54"/>
    </row>
    <row r="30" spans="1:39" ht="22.2" customHeight="1" x14ac:dyDescent="0.3">
      <c r="A30" s="101" t="s">
        <v>1</v>
      </c>
      <c r="B30" s="68" t="s">
        <v>19</v>
      </c>
      <c r="C30" s="101" t="s">
        <v>2</v>
      </c>
      <c r="D30" s="101" t="s">
        <v>140</v>
      </c>
      <c r="E30" s="101" t="s">
        <v>141</v>
      </c>
      <c r="F30" s="103" t="s">
        <v>121</v>
      </c>
      <c r="G30" s="104"/>
      <c r="H30" s="103" t="s">
        <v>148</v>
      </c>
      <c r="I30" s="112"/>
      <c r="J30" s="104"/>
      <c r="K30" s="94" t="s">
        <v>3</v>
      </c>
      <c r="L30" s="95"/>
      <c r="M30" s="96"/>
      <c r="N30" s="68" t="s">
        <v>128</v>
      </c>
      <c r="O30" s="68"/>
      <c r="P30" s="68" t="s">
        <v>124</v>
      </c>
      <c r="Q30" s="68"/>
      <c r="R30" s="68"/>
      <c r="S30" s="68"/>
      <c r="U30" s="94" t="s">
        <v>1</v>
      </c>
      <c r="V30" s="96"/>
      <c r="W30" s="68" t="s">
        <v>2</v>
      </c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76" t="s">
        <v>3</v>
      </c>
      <c r="AK30" s="76"/>
      <c r="AL30" s="75" t="s">
        <v>128</v>
      </c>
      <c r="AM30" s="68" t="s">
        <v>124</v>
      </c>
    </row>
    <row r="31" spans="1:39" ht="22.2" customHeight="1" x14ac:dyDescent="0.3">
      <c r="A31" s="102"/>
      <c r="B31" s="68"/>
      <c r="C31" s="102"/>
      <c r="D31" s="102"/>
      <c r="E31" s="102"/>
      <c r="F31" s="105"/>
      <c r="G31" s="106"/>
      <c r="H31" s="105"/>
      <c r="I31" s="113"/>
      <c r="J31" s="106"/>
      <c r="K31" s="94"/>
      <c r="L31" s="95"/>
      <c r="M31" s="96"/>
      <c r="N31" s="68"/>
      <c r="O31" s="68"/>
      <c r="P31" s="68"/>
      <c r="Q31" s="68"/>
      <c r="R31" s="68"/>
      <c r="S31" s="68"/>
      <c r="U31" s="94"/>
      <c r="V31" s="96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76"/>
      <c r="AK31" s="76"/>
      <c r="AL31" s="75"/>
      <c r="AM31" s="68"/>
    </row>
    <row r="32" spans="1:39" ht="30" customHeight="1" x14ac:dyDescent="0.3">
      <c r="A32" s="4">
        <v>1</v>
      </c>
      <c r="B32" s="4"/>
      <c r="C32" s="4" t="s">
        <v>134</v>
      </c>
      <c r="D32" s="59"/>
      <c r="E32" s="59"/>
      <c r="F32" s="107"/>
      <c r="G32" s="108"/>
      <c r="H32" s="114">
        <f>852*2</f>
        <v>1704</v>
      </c>
      <c r="I32" s="115"/>
      <c r="J32" s="116"/>
      <c r="K32" s="93"/>
      <c r="L32" s="93"/>
      <c r="M32" s="93"/>
      <c r="N32" s="117">
        <f>+K32*H32</f>
        <v>0</v>
      </c>
      <c r="O32" s="117"/>
      <c r="P32" s="92">
        <f>+N32*1.25</f>
        <v>0</v>
      </c>
      <c r="Q32" s="92"/>
      <c r="R32" s="92"/>
      <c r="S32" s="92"/>
      <c r="U32" s="97">
        <v>1</v>
      </c>
      <c r="V32" s="98"/>
      <c r="W32" s="91" t="s">
        <v>131</v>
      </c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0">
        <v>11</v>
      </c>
      <c r="AK32" s="90"/>
      <c r="AL32" s="55">
        <v>785</v>
      </c>
      <c r="AM32" s="50">
        <f>+AL32*AJ32</f>
        <v>8635</v>
      </c>
    </row>
    <row r="33" spans="1:39" ht="27.6" customHeight="1" x14ac:dyDescent="0.3">
      <c r="A33" s="4">
        <v>2</v>
      </c>
      <c r="B33" s="4" t="s">
        <v>14</v>
      </c>
      <c r="C33" s="4" t="s">
        <v>135</v>
      </c>
      <c r="D33" s="59">
        <v>46134</v>
      </c>
      <c r="E33" s="59">
        <v>46135</v>
      </c>
      <c r="F33" s="153"/>
      <c r="G33" s="154"/>
      <c r="H33" s="114">
        <f>1021*2</f>
        <v>2042</v>
      </c>
      <c r="I33" s="115"/>
      <c r="J33" s="116"/>
      <c r="K33" s="93">
        <v>1</v>
      </c>
      <c r="L33" s="93"/>
      <c r="M33" s="93"/>
      <c r="N33" s="117">
        <f>+K33*H33</f>
        <v>2042</v>
      </c>
      <c r="O33" s="117"/>
      <c r="P33" s="92">
        <f>+N33*1.25</f>
        <v>2552.5</v>
      </c>
      <c r="Q33" s="92"/>
      <c r="R33" s="92"/>
      <c r="S33" s="92"/>
      <c r="U33" s="99">
        <v>2</v>
      </c>
      <c r="V33" s="100"/>
      <c r="W33" s="91" t="s">
        <v>132</v>
      </c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0">
        <v>0</v>
      </c>
      <c r="AK33" s="90"/>
      <c r="AL33" s="55">
        <v>4857.5</v>
      </c>
      <c r="AM33" s="50">
        <f>+AL33*AJ33</f>
        <v>0</v>
      </c>
    </row>
    <row r="34" spans="1:39" ht="22.2" customHeight="1" x14ac:dyDescent="0.3">
      <c r="A34" s="4">
        <v>3</v>
      </c>
      <c r="B34" s="4"/>
      <c r="C34" s="4" t="s">
        <v>136</v>
      </c>
      <c r="D34" s="4"/>
      <c r="E34" s="4"/>
      <c r="F34" s="153"/>
      <c r="G34" s="154"/>
      <c r="H34" s="114">
        <f>851*2</f>
        <v>1702</v>
      </c>
      <c r="I34" s="115"/>
      <c r="J34" s="116"/>
      <c r="K34" s="93"/>
      <c r="L34" s="93"/>
      <c r="M34" s="93"/>
      <c r="N34" s="117">
        <f>+K34*H34</f>
        <v>0</v>
      </c>
      <c r="O34" s="117"/>
      <c r="P34" s="92">
        <f>+N34*1.25</f>
        <v>0</v>
      </c>
      <c r="Q34" s="92"/>
      <c r="R34" s="92"/>
      <c r="S34" s="92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8"/>
      <c r="AM34" s="49">
        <f>SUM(AM32:AM33)</f>
        <v>8635</v>
      </c>
    </row>
    <row r="35" spans="1:39" ht="22.2" customHeight="1" x14ac:dyDescent="0.3">
      <c r="A35" s="4">
        <v>4</v>
      </c>
      <c r="B35" s="4"/>
      <c r="C35" s="4" t="s">
        <v>137</v>
      </c>
      <c r="D35" s="4"/>
      <c r="E35" s="4"/>
      <c r="F35" s="153"/>
      <c r="G35" s="154"/>
      <c r="H35" s="114">
        <f>443*2</f>
        <v>886</v>
      </c>
      <c r="I35" s="115"/>
      <c r="J35" s="116"/>
      <c r="K35" s="93"/>
      <c r="L35" s="93"/>
      <c r="M35" s="93"/>
      <c r="N35" s="117">
        <f>+K35*H35</f>
        <v>0</v>
      </c>
      <c r="O35" s="117"/>
      <c r="P35" s="92">
        <f>+N35*1.25</f>
        <v>0</v>
      </c>
      <c r="Q35" s="92"/>
      <c r="R35" s="92"/>
      <c r="S35" s="92"/>
      <c r="AM35" s="54"/>
    </row>
    <row r="36" spans="1:39" ht="22.2" customHeight="1" x14ac:dyDescent="0.3">
      <c r="A36" s="4">
        <v>5</v>
      </c>
      <c r="B36" s="4"/>
      <c r="C36" s="4" t="s">
        <v>139</v>
      </c>
      <c r="D36" s="59">
        <v>46134</v>
      </c>
      <c r="E36" s="59">
        <v>46135</v>
      </c>
      <c r="F36" s="155">
        <v>1</v>
      </c>
      <c r="G36" s="156"/>
      <c r="H36" s="114">
        <v>350</v>
      </c>
      <c r="I36" s="115"/>
      <c r="J36" s="116"/>
      <c r="K36" s="118"/>
      <c r="L36" s="118"/>
      <c r="M36" s="118"/>
      <c r="N36" s="117">
        <f>+F36*H36</f>
        <v>350</v>
      </c>
      <c r="O36" s="117"/>
      <c r="P36" s="92">
        <f>+N36*1.25</f>
        <v>437.5</v>
      </c>
      <c r="Q36" s="92"/>
      <c r="R36" s="92"/>
      <c r="S36" s="92"/>
      <c r="AM36" s="54"/>
    </row>
    <row r="37" spans="1:39" ht="22.2" customHeight="1" x14ac:dyDescent="0.3">
      <c r="P37" s="109">
        <f>SUM(P32:S36)</f>
        <v>2990</v>
      </c>
      <c r="Q37" s="110"/>
      <c r="R37" s="110"/>
      <c r="S37" s="111"/>
      <c r="AM37" s="54"/>
    </row>
    <row r="39" spans="1:39" ht="31.2" x14ac:dyDescent="0.6">
      <c r="A39" s="71" t="s">
        <v>126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3"/>
      <c r="AL39" s="56" t="s">
        <v>143</v>
      </c>
      <c r="AM39" s="61">
        <v>1.1599999999999999</v>
      </c>
    </row>
    <row r="40" spans="1:39" ht="6.6" customHeight="1" x14ac:dyDescent="0.3"/>
    <row r="41" spans="1:39" x14ac:dyDescent="0.3">
      <c r="A41" s="68" t="s">
        <v>1</v>
      </c>
      <c r="B41" s="68" t="s">
        <v>19</v>
      </c>
      <c r="C41" s="76" t="s">
        <v>20</v>
      </c>
      <c r="D41" s="75" t="s">
        <v>32</v>
      </c>
      <c r="E41" s="75" t="s">
        <v>127</v>
      </c>
      <c r="F41" s="74" t="s">
        <v>121</v>
      </c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5" t="s">
        <v>119</v>
      </c>
      <c r="AL41" s="75" t="s">
        <v>128</v>
      </c>
      <c r="AM41" s="68" t="s">
        <v>124</v>
      </c>
    </row>
    <row r="42" spans="1:39" x14ac:dyDescent="0.3">
      <c r="A42" s="68"/>
      <c r="B42" s="68"/>
      <c r="C42" s="76"/>
      <c r="D42" s="75"/>
      <c r="E42" s="75"/>
      <c r="F42" s="38">
        <v>1</v>
      </c>
      <c r="G42" s="38">
        <v>2</v>
      </c>
      <c r="H42" s="38">
        <v>3</v>
      </c>
      <c r="I42" s="38">
        <v>4</v>
      </c>
      <c r="J42" s="38">
        <v>5</v>
      </c>
      <c r="K42" s="38">
        <v>6</v>
      </c>
      <c r="L42" s="38">
        <v>7</v>
      </c>
      <c r="M42" s="38">
        <v>8</v>
      </c>
      <c r="N42" s="38">
        <v>9</v>
      </c>
      <c r="O42" s="38">
        <v>10</v>
      </c>
      <c r="P42" s="38">
        <v>11</v>
      </c>
      <c r="Q42" s="38">
        <v>12</v>
      </c>
      <c r="R42" s="38">
        <v>13</v>
      </c>
      <c r="S42" s="38">
        <v>14</v>
      </c>
      <c r="T42" s="38">
        <v>15</v>
      </c>
      <c r="U42" s="38">
        <v>16</v>
      </c>
      <c r="V42" s="38">
        <v>17</v>
      </c>
      <c r="W42" s="38">
        <v>18</v>
      </c>
      <c r="X42" s="38">
        <v>19</v>
      </c>
      <c r="Y42" s="38">
        <v>20</v>
      </c>
      <c r="Z42" s="38">
        <v>21</v>
      </c>
      <c r="AA42" s="38">
        <v>22</v>
      </c>
      <c r="AB42" s="38">
        <v>23</v>
      </c>
      <c r="AC42" s="38">
        <v>24</v>
      </c>
      <c r="AD42" s="38">
        <v>25</v>
      </c>
      <c r="AE42" s="38">
        <v>26</v>
      </c>
      <c r="AF42" s="38">
        <v>27</v>
      </c>
      <c r="AG42" s="38">
        <v>28</v>
      </c>
      <c r="AH42" s="38">
        <v>29</v>
      </c>
      <c r="AI42" s="38">
        <v>30</v>
      </c>
      <c r="AJ42" s="38">
        <v>31</v>
      </c>
      <c r="AK42" s="75"/>
      <c r="AL42" s="75"/>
      <c r="AM42" s="68"/>
    </row>
    <row r="43" spans="1:39" x14ac:dyDescent="0.3">
      <c r="A43" s="43">
        <v>3</v>
      </c>
      <c r="B43" s="1" t="s">
        <v>9</v>
      </c>
      <c r="C43" s="1" t="s">
        <v>23</v>
      </c>
      <c r="D43" s="6">
        <v>46118</v>
      </c>
      <c r="E43" s="42">
        <v>25</v>
      </c>
      <c r="F43" s="5" t="s">
        <v>48</v>
      </c>
      <c r="G43" s="5" t="s">
        <v>48</v>
      </c>
      <c r="H43" s="5" t="s">
        <v>48</v>
      </c>
      <c r="I43" s="5" t="s">
        <v>48</v>
      </c>
      <c r="J43" s="5" t="s">
        <v>48</v>
      </c>
      <c r="K43" s="5" t="s">
        <v>48</v>
      </c>
      <c r="L43" s="5" t="s">
        <v>47</v>
      </c>
      <c r="M43" s="5" t="s">
        <v>47</v>
      </c>
      <c r="N43" s="5" t="s">
        <v>47</v>
      </c>
      <c r="O43" s="5" t="s">
        <v>47</v>
      </c>
      <c r="P43" s="5" t="s">
        <v>48</v>
      </c>
      <c r="Q43" s="5" t="s">
        <v>48</v>
      </c>
      <c r="R43" s="5" t="s">
        <v>47</v>
      </c>
      <c r="S43" s="5" t="s">
        <v>47</v>
      </c>
      <c r="T43" s="5" t="s">
        <v>47</v>
      </c>
      <c r="U43" s="5" t="s">
        <v>47</v>
      </c>
      <c r="V43" s="5" t="s">
        <v>47</v>
      </c>
      <c r="W43" s="5" t="s">
        <v>48</v>
      </c>
      <c r="X43" s="5" t="s">
        <v>48</v>
      </c>
      <c r="Y43" s="5" t="s">
        <v>47</v>
      </c>
      <c r="Z43" s="5" t="s">
        <v>47</v>
      </c>
      <c r="AA43" s="5" t="s">
        <v>47</v>
      </c>
      <c r="AB43" s="5" t="s">
        <v>47</v>
      </c>
      <c r="AC43" s="5" t="s">
        <v>47</v>
      </c>
      <c r="AD43" s="5" t="s">
        <v>48</v>
      </c>
      <c r="AE43" s="5" t="s">
        <v>48</v>
      </c>
      <c r="AF43" s="5" t="s">
        <v>47</v>
      </c>
      <c r="AG43" s="5" t="s">
        <v>47</v>
      </c>
      <c r="AH43" s="5" t="s">
        <v>47</v>
      </c>
      <c r="AI43" s="5" t="s">
        <v>47</v>
      </c>
      <c r="AJ43" s="5" t="s">
        <v>48</v>
      </c>
      <c r="AK43" s="5">
        <f t="shared" ref="AK43:AK45" si="3">+COUNTIF(F43:AJ43,"SI")</f>
        <v>18</v>
      </c>
      <c r="AL43" s="50">
        <f>+AK43*E43</f>
        <v>450</v>
      </c>
      <c r="AM43" s="50">
        <f>+AL43*$AM$39</f>
        <v>522</v>
      </c>
    </row>
    <row r="44" spans="1:39" x14ac:dyDescent="0.3">
      <c r="A44" s="43">
        <v>6</v>
      </c>
      <c r="B44" s="1" t="s">
        <v>12</v>
      </c>
      <c r="C44" s="1" t="s">
        <v>26</v>
      </c>
      <c r="D44" s="6">
        <v>46119</v>
      </c>
      <c r="E44" s="42">
        <v>25</v>
      </c>
      <c r="F44" s="5" t="s">
        <v>48</v>
      </c>
      <c r="G44" s="5" t="s">
        <v>48</v>
      </c>
      <c r="H44" s="5" t="s">
        <v>48</v>
      </c>
      <c r="I44" s="5" t="s">
        <v>48</v>
      </c>
      <c r="J44" s="5" t="s">
        <v>48</v>
      </c>
      <c r="K44" s="5" t="s">
        <v>48</v>
      </c>
      <c r="L44" s="5" t="s">
        <v>47</v>
      </c>
      <c r="M44" s="5" t="s">
        <v>47</v>
      </c>
      <c r="N44" s="5" t="s">
        <v>47</v>
      </c>
      <c r="O44" s="5" t="s">
        <v>47</v>
      </c>
      <c r="P44" s="5" t="s">
        <v>48</v>
      </c>
      <c r="Q44" s="5" t="s">
        <v>48</v>
      </c>
      <c r="R44" s="5" t="s">
        <v>47</v>
      </c>
      <c r="S44" s="5" t="s">
        <v>47</v>
      </c>
      <c r="T44" s="5" t="s">
        <v>47</v>
      </c>
      <c r="U44" s="5" t="s">
        <v>47</v>
      </c>
      <c r="V44" s="5" t="s">
        <v>47</v>
      </c>
      <c r="W44" s="5" t="s">
        <v>48</v>
      </c>
      <c r="X44" s="5" t="s">
        <v>48</v>
      </c>
      <c r="Y44" s="5" t="s">
        <v>47</v>
      </c>
      <c r="Z44" s="5" t="s">
        <v>47</v>
      </c>
      <c r="AA44" s="5" t="s">
        <v>47</v>
      </c>
      <c r="AB44" s="5" t="s">
        <v>47</v>
      </c>
      <c r="AC44" s="5" t="s">
        <v>47</v>
      </c>
      <c r="AD44" s="5" t="s">
        <v>48</v>
      </c>
      <c r="AE44" s="5" t="s">
        <v>48</v>
      </c>
      <c r="AF44" s="5" t="s">
        <v>47</v>
      </c>
      <c r="AG44" s="5" t="s">
        <v>47</v>
      </c>
      <c r="AH44" s="5" t="s">
        <v>47</v>
      </c>
      <c r="AI44" s="5" t="s">
        <v>47</v>
      </c>
      <c r="AJ44" s="5" t="s">
        <v>48</v>
      </c>
      <c r="AK44" s="5">
        <f t="shared" si="3"/>
        <v>18</v>
      </c>
      <c r="AL44" s="50">
        <f t="shared" ref="AL44:AL46" si="4">+AK44*E44</f>
        <v>450</v>
      </c>
      <c r="AM44" s="50">
        <f t="shared" ref="AM44:AM46" si="5">+AL44*$AM$39</f>
        <v>522</v>
      </c>
    </row>
    <row r="45" spans="1:39" x14ac:dyDescent="0.3">
      <c r="A45" s="43">
        <v>10</v>
      </c>
      <c r="B45" s="1" t="s">
        <v>16</v>
      </c>
      <c r="C45" s="1" t="s">
        <v>30</v>
      </c>
      <c r="D45" s="6">
        <v>46113</v>
      </c>
      <c r="E45" s="42">
        <v>25</v>
      </c>
      <c r="F45" s="5" t="s">
        <v>47</v>
      </c>
      <c r="G45" s="5" t="s">
        <v>47</v>
      </c>
      <c r="H45" s="5" t="s">
        <v>47</v>
      </c>
      <c r="I45" s="5" t="s">
        <v>48</v>
      </c>
      <c r="J45" s="5" t="s">
        <v>48</v>
      </c>
      <c r="K45" s="5" t="s">
        <v>47</v>
      </c>
      <c r="L45" s="5" t="s">
        <v>47</v>
      </c>
      <c r="M45" s="5" t="s">
        <v>47</v>
      </c>
      <c r="N45" s="5" t="s">
        <v>47</v>
      </c>
      <c r="O45" s="5" t="s">
        <v>47</v>
      </c>
      <c r="P45" s="5" t="s">
        <v>48</v>
      </c>
      <c r="Q45" s="5" t="s">
        <v>48</v>
      </c>
      <c r="R45" s="5" t="s">
        <v>47</v>
      </c>
      <c r="S45" s="5" t="s">
        <v>47</v>
      </c>
      <c r="T45" s="5" t="s">
        <v>47</v>
      </c>
      <c r="U45" s="5" t="s">
        <v>47</v>
      </c>
      <c r="V45" s="5" t="s">
        <v>47</v>
      </c>
      <c r="W45" s="5" t="s">
        <v>48</v>
      </c>
      <c r="X45" s="5" t="s">
        <v>48</v>
      </c>
      <c r="Y45" s="5" t="s">
        <v>47</v>
      </c>
      <c r="Z45" s="5" t="s">
        <v>47</v>
      </c>
      <c r="AA45" s="5" t="s">
        <v>47</v>
      </c>
      <c r="AB45" s="5" t="s">
        <v>47</v>
      </c>
      <c r="AC45" s="5" t="s">
        <v>47</v>
      </c>
      <c r="AD45" s="5" t="s">
        <v>48</v>
      </c>
      <c r="AE45" s="5" t="s">
        <v>48</v>
      </c>
      <c r="AF45" s="5" t="s">
        <v>47</v>
      </c>
      <c r="AG45" s="5" t="s">
        <v>47</v>
      </c>
      <c r="AH45" s="5" t="s">
        <v>47</v>
      </c>
      <c r="AI45" s="5" t="s">
        <v>47</v>
      </c>
      <c r="AJ45" s="5" t="s">
        <v>48</v>
      </c>
      <c r="AK45" s="5">
        <f t="shared" si="3"/>
        <v>22</v>
      </c>
      <c r="AL45" s="50">
        <f t="shared" si="4"/>
        <v>550</v>
      </c>
      <c r="AM45" s="50">
        <f t="shared" si="5"/>
        <v>638</v>
      </c>
    </row>
    <row r="46" spans="1:39" x14ac:dyDescent="0.3">
      <c r="A46" s="43">
        <v>12</v>
      </c>
      <c r="B46" s="1" t="s">
        <v>18</v>
      </c>
      <c r="C46" s="1" t="s">
        <v>31</v>
      </c>
      <c r="D46" s="6">
        <v>46113</v>
      </c>
      <c r="E46" s="42">
        <v>25</v>
      </c>
      <c r="F46" s="5" t="s">
        <v>47</v>
      </c>
      <c r="G46" s="5" t="s">
        <v>47</v>
      </c>
      <c r="H46" s="5" t="s">
        <v>47</v>
      </c>
      <c r="I46" s="5" t="s">
        <v>48</v>
      </c>
      <c r="J46" s="5" t="s">
        <v>48</v>
      </c>
      <c r="K46" s="5" t="s">
        <v>47</v>
      </c>
      <c r="L46" s="5" t="s">
        <v>47</v>
      </c>
      <c r="M46" s="5" t="s">
        <v>47</v>
      </c>
      <c r="N46" s="5" t="s">
        <v>47</v>
      </c>
      <c r="O46" s="5" t="s">
        <v>47</v>
      </c>
      <c r="P46" s="5" t="s">
        <v>48</v>
      </c>
      <c r="Q46" s="5" t="s">
        <v>48</v>
      </c>
      <c r="R46" s="5" t="s">
        <v>47</v>
      </c>
      <c r="S46" s="5" t="s">
        <v>47</v>
      </c>
      <c r="T46" s="5" t="s">
        <v>47</v>
      </c>
      <c r="U46" s="5" t="s">
        <v>47</v>
      </c>
      <c r="V46" s="5" t="s">
        <v>47</v>
      </c>
      <c r="W46" s="5" t="s">
        <v>48</v>
      </c>
      <c r="X46" s="5" t="s">
        <v>48</v>
      </c>
      <c r="Y46" s="5" t="s">
        <v>47</v>
      </c>
      <c r="Z46" s="5" t="s">
        <v>47</v>
      </c>
      <c r="AA46" s="5" t="s">
        <v>47</v>
      </c>
      <c r="AB46" s="5" t="s">
        <v>47</v>
      </c>
      <c r="AC46" s="5" t="s">
        <v>47</v>
      </c>
      <c r="AD46" s="5" t="s">
        <v>48</v>
      </c>
      <c r="AE46" s="5" t="s">
        <v>48</v>
      </c>
      <c r="AF46" s="5" t="s">
        <v>47</v>
      </c>
      <c r="AG46" s="5" t="s">
        <v>47</v>
      </c>
      <c r="AH46" s="5" t="s">
        <v>47</v>
      </c>
      <c r="AI46" s="5" t="s">
        <v>47</v>
      </c>
      <c r="AJ46" s="5" t="s">
        <v>48</v>
      </c>
      <c r="AK46" s="5">
        <f t="shared" ref="AK46" si="6">+COUNTIF(F46:AJ46,"SI")</f>
        <v>22</v>
      </c>
      <c r="AL46" s="50">
        <f t="shared" si="4"/>
        <v>550</v>
      </c>
      <c r="AM46" s="50">
        <f t="shared" si="5"/>
        <v>638</v>
      </c>
    </row>
    <row r="47" spans="1:39" x14ac:dyDescent="0.3">
      <c r="A47" s="51"/>
      <c r="D47" s="7"/>
      <c r="E47" s="5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53"/>
      <c r="AM47" s="49">
        <f>SUM(AM43:AM46)</f>
        <v>2320</v>
      </c>
    </row>
    <row r="48" spans="1:39" ht="31.2" x14ac:dyDescent="0.6">
      <c r="A48" s="71" t="s">
        <v>129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3"/>
      <c r="AL48" s="56" t="s">
        <v>143</v>
      </c>
      <c r="AM48" s="61">
        <v>1.1599999999999999</v>
      </c>
    </row>
    <row r="49" spans="1:39" ht="5.4" customHeight="1" x14ac:dyDescent="0.3"/>
    <row r="50" spans="1:39" x14ac:dyDescent="0.3">
      <c r="A50" s="68" t="s">
        <v>1</v>
      </c>
      <c r="B50" s="68" t="s">
        <v>19</v>
      </c>
      <c r="C50" s="76" t="s">
        <v>20</v>
      </c>
      <c r="D50" s="75" t="s">
        <v>32</v>
      </c>
      <c r="E50" s="75" t="s">
        <v>127</v>
      </c>
      <c r="F50" s="74" t="s">
        <v>121</v>
      </c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5" t="s">
        <v>119</v>
      </c>
      <c r="AL50" s="75" t="s">
        <v>128</v>
      </c>
      <c r="AM50" s="68" t="s">
        <v>124</v>
      </c>
    </row>
    <row r="51" spans="1:39" x14ac:dyDescent="0.3">
      <c r="A51" s="68"/>
      <c r="B51" s="68"/>
      <c r="C51" s="76"/>
      <c r="D51" s="75"/>
      <c r="E51" s="75"/>
      <c r="F51" s="38">
        <v>1</v>
      </c>
      <c r="G51" s="38">
        <v>2</v>
      </c>
      <c r="H51" s="38">
        <v>3</v>
      </c>
      <c r="I51" s="38">
        <v>4</v>
      </c>
      <c r="J51" s="38">
        <v>5</v>
      </c>
      <c r="K51" s="38">
        <v>6</v>
      </c>
      <c r="L51" s="38">
        <v>7</v>
      </c>
      <c r="M51" s="38">
        <v>8</v>
      </c>
      <c r="N51" s="38">
        <v>9</v>
      </c>
      <c r="O51" s="38">
        <v>10</v>
      </c>
      <c r="P51" s="38">
        <v>11</v>
      </c>
      <c r="Q51" s="38">
        <v>12</v>
      </c>
      <c r="R51" s="38">
        <v>13</v>
      </c>
      <c r="S51" s="38">
        <v>14</v>
      </c>
      <c r="T51" s="38">
        <v>15</v>
      </c>
      <c r="U51" s="38">
        <v>16</v>
      </c>
      <c r="V51" s="38">
        <v>17</v>
      </c>
      <c r="W51" s="38">
        <v>18</v>
      </c>
      <c r="X51" s="38">
        <v>19</v>
      </c>
      <c r="Y51" s="38">
        <v>20</v>
      </c>
      <c r="Z51" s="38">
        <v>21</v>
      </c>
      <c r="AA51" s="38">
        <v>22</v>
      </c>
      <c r="AB51" s="38">
        <v>23</v>
      </c>
      <c r="AC51" s="38">
        <v>24</v>
      </c>
      <c r="AD51" s="38">
        <v>25</v>
      </c>
      <c r="AE51" s="38">
        <v>26</v>
      </c>
      <c r="AF51" s="38">
        <v>27</v>
      </c>
      <c r="AG51" s="38">
        <v>28</v>
      </c>
      <c r="AH51" s="38">
        <v>29</v>
      </c>
      <c r="AI51" s="38">
        <v>30</v>
      </c>
      <c r="AJ51" s="38">
        <v>31</v>
      </c>
      <c r="AK51" s="75"/>
      <c r="AL51" s="75"/>
      <c r="AM51" s="68"/>
    </row>
    <row r="52" spans="1:39" ht="19.95" customHeight="1" x14ac:dyDescent="0.3">
      <c r="A52" s="43">
        <v>4</v>
      </c>
      <c r="B52" s="1" t="s">
        <v>10</v>
      </c>
      <c r="C52" s="1" t="s">
        <v>24</v>
      </c>
      <c r="D52" s="6">
        <v>46126</v>
      </c>
      <c r="E52" s="42">
        <v>25</v>
      </c>
      <c r="F52" s="5" t="s">
        <v>48</v>
      </c>
      <c r="G52" s="5" t="s">
        <v>48</v>
      </c>
      <c r="H52" s="5" t="s">
        <v>48</v>
      </c>
      <c r="I52" s="5" t="s">
        <v>48</v>
      </c>
      <c r="J52" s="5" t="s">
        <v>48</v>
      </c>
      <c r="K52" s="5" t="s">
        <v>48</v>
      </c>
      <c r="L52" s="5" t="s">
        <v>47</v>
      </c>
      <c r="M52" s="5" t="s">
        <v>47</v>
      </c>
      <c r="N52" s="5" t="s">
        <v>47</v>
      </c>
      <c r="O52" s="5" t="s">
        <v>47</v>
      </c>
      <c r="P52" s="5" t="s">
        <v>48</v>
      </c>
      <c r="Q52" s="5" t="s">
        <v>48</v>
      </c>
      <c r="R52" s="5" t="s">
        <v>47</v>
      </c>
      <c r="S52" s="5" t="s">
        <v>47</v>
      </c>
      <c r="T52" s="5" t="s">
        <v>47</v>
      </c>
      <c r="U52" s="5" t="s">
        <v>47</v>
      </c>
      <c r="V52" s="5" t="s">
        <v>47</v>
      </c>
      <c r="W52" s="5" t="s">
        <v>48</v>
      </c>
      <c r="X52" s="5" t="s">
        <v>48</v>
      </c>
      <c r="Y52" s="5" t="s">
        <v>47</v>
      </c>
      <c r="Z52" s="5" t="s">
        <v>47</v>
      </c>
      <c r="AA52" s="5" t="s">
        <v>47</v>
      </c>
      <c r="AB52" s="5" t="s">
        <v>47</v>
      </c>
      <c r="AC52" s="5" t="s">
        <v>47</v>
      </c>
      <c r="AD52" s="5" t="s">
        <v>48</v>
      </c>
      <c r="AE52" s="5" t="s">
        <v>48</v>
      </c>
      <c r="AF52" s="5" t="s">
        <v>47</v>
      </c>
      <c r="AG52" s="5" t="s">
        <v>47</v>
      </c>
      <c r="AH52" s="5" t="s">
        <v>47</v>
      </c>
      <c r="AI52" s="5" t="s">
        <v>47</v>
      </c>
      <c r="AJ52" s="5" t="s">
        <v>48</v>
      </c>
      <c r="AK52" s="5">
        <f t="shared" ref="AK52:AK53" si="7">+COUNTIF(F52:AJ52,"SI")</f>
        <v>18</v>
      </c>
      <c r="AL52" s="50">
        <f t="shared" ref="AL52:AL54" si="8">+AK52*E52</f>
        <v>450</v>
      </c>
      <c r="AM52" s="50">
        <f>+$AM$48*AL52</f>
        <v>522</v>
      </c>
    </row>
    <row r="53" spans="1:39" ht="19.95" customHeight="1" x14ac:dyDescent="0.3">
      <c r="A53" s="43">
        <v>7</v>
      </c>
      <c r="B53" s="1" t="s">
        <v>13</v>
      </c>
      <c r="C53" s="1" t="s">
        <v>27</v>
      </c>
      <c r="D53" s="6">
        <v>46113</v>
      </c>
      <c r="E53" s="42">
        <v>25</v>
      </c>
      <c r="F53" s="5" t="s">
        <v>47</v>
      </c>
      <c r="G53" s="5" t="s">
        <v>47</v>
      </c>
      <c r="H53" s="5" t="s">
        <v>47</v>
      </c>
      <c r="I53" s="5" t="s">
        <v>48</v>
      </c>
      <c r="J53" s="5" t="s">
        <v>48</v>
      </c>
      <c r="K53" s="5" t="s">
        <v>47</v>
      </c>
      <c r="L53" s="5" t="s">
        <v>47</v>
      </c>
      <c r="M53" s="5" t="s">
        <v>47</v>
      </c>
      <c r="N53" s="5" t="s">
        <v>47</v>
      </c>
      <c r="O53" s="5" t="s">
        <v>47</v>
      </c>
      <c r="P53" s="5" t="s">
        <v>48</v>
      </c>
      <c r="Q53" s="5" t="s">
        <v>48</v>
      </c>
      <c r="R53" s="5" t="s">
        <v>47</v>
      </c>
      <c r="S53" s="5" t="s">
        <v>47</v>
      </c>
      <c r="T53" s="5" t="s">
        <v>47</v>
      </c>
      <c r="U53" s="5" t="s">
        <v>47</v>
      </c>
      <c r="V53" s="5" t="s">
        <v>47</v>
      </c>
      <c r="W53" s="5" t="s">
        <v>48</v>
      </c>
      <c r="X53" s="5" t="s">
        <v>48</v>
      </c>
      <c r="Y53" s="5" t="s">
        <v>47</v>
      </c>
      <c r="Z53" s="5" t="s">
        <v>47</v>
      </c>
      <c r="AA53" s="5" t="s">
        <v>47</v>
      </c>
      <c r="AB53" s="5" t="s">
        <v>47</v>
      </c>
      <c r="AC53" s="5" t="s">
        <v>47</v>
      </c>
      <c r="AD53" s="5" t="s">
        <v>48</v>
      </c>
      <c r="AE53" s="5" t="s">
        <v>48</v>
      </c>
      <c r="AF53" s="5" t="s">
        <v>47</v>
      </c>
      <c r="AG53" s="5" t="s">
        <v>47</v>
      </c>
      <c r="AH53" s="5" t="s">
        <v>47</v>
      </c>
      <c r="AI53" s="5" t="s">
        <v>47</v>
      </c>
      <c r="AJ53" s="5" t="s">
        <v>48</v>
      </c>
      <c r="AK53" s="5">
        <f t="shared" si="7"/>
        <v>22</v>
      </c>
      <c r="AL53" s="50">
        <f t="shared" si="8"/>
        <v>550</v>
      </c>
      <c r="AM53" s="50">
        <f t="shared" ref="AM53:AM54" si="9">+$AM$48*AL53</f>
        <v>638</v>
      </c>
    </row>
    <row r="54" spans="1:39" ht="19.95" customHeight="1" x14ac:dyDescent="0.3">
      <c r="A54" s="43">
        <v>11</v>
      </c>
      <c r="B54" s="1" t="s">
        <v>17</v>
      </c>
      <c r="C54" s="1" t="s">
        <v>30</v>
      </c>
      <c r="D54" s="6">
        <v>46113</v>
      </c>
      <c r="E54" s="42">
        <v>25</v>
      </c>
      <c r="F54" s="5" t="s">
        <v>47</v>
      </c>
      <c r="G54" s="5" t="s">
        <v>47</v>
      </c>
      <c r="H54" s="5" t="s">
        <v>47</v>
      </c>
      <c r="I54" s="5" t="s">
        <v>48</v>
      </c>
      <c r="J54" s="5" t="s">
        <v>48</v>
      </c>
      <c r="K54" s="5" t="s">
        <v>47</v>
      </c>
      <c r="L54" s="5" t="s">
        <v>47</v>
      </c>
      <c r="M54" s="5" t="s">
        <v>47</v>
      </c>
      <c r="N54" s="5" t="s">
        <v>47</v>
      </c>
      <c r="O54" s="5" t="s">
        <v>47</v>
      </c>
      <c r="P54" s="5" t="s">
        <v>48</v>
      </c>
      <c r="Q54" s="5" t="s">
        <v>48</v>
      </c>
      <c r="R54" s="5" t="s">
        <v>47</v>
      </c>
      <c r="S54" s="5" t="s">
        <v>47</v>
      </c>
      <c r="T54" s="5" t="s">
        <v>47</v>
      </c>
      <c r="U54" s="5" t="s">
        <v>47</v>
      </c>
      <c r="V54" s="5" t="s">
        <v>47</v>
      </c>
      <c r="W54" s="5" t="s">
        <v>48</v>
      </c>
      <c r="X54" s="5" t="s">
        <v>48</v>
      </c>
      <c r="Y54" s="5" t="s">
        <v>47</v>
      </c>
      <c r="Z54" s="5" t="s">
        <v>47</v>
      </c>
      <c r="AA54" s="5" t="s">
        <v>47</v>
      </c>
      <c r="AB54" s="5" t="s">
        <v>47</v>
      </c>
      <c r="AC54" s="5" t="s">
        <v>47</v>
      </c>
      <c r="AD54" s="5" t="s">
        <v>48</v>
      </c>
      <c r="AE54" s="5" t="s">
        <v>48</v>
      </c>
      <c r="AF54" s="5" t="s">
        <v>47</v>
      </c>
      <c r="AG54" s="5" t="s">
        <v>47</v>
      </c>
      <c r="AH54" s="5" t="s">
        <v>47</v>
      </c>
      <c r="AI54" s="5" t="s">
        <v>47</v>
      </c>
      <c r="AJ54" s="5" t="s">
        <v>48</v>
      </c>
      <c r="AK54" s="5">
        <v>22</v>
      </c>
      <c r="AL54" s="50">
        <f t="shared" si="8"/>
        <v>550</v>
      </c>
      <c r="AM54" s="50">
        <f t="shared" si="9"/>
        <v>638</v>
      </c>
    </row>
    <row r="55" spans="1:39" x14ac:dyDescent="0.3">
      <c r="AM55" s="49">
        <f>SUM(AM51:AM54)</f>
        <v>1798</v>
      </c>
    </row>
    <row r="56" spans="1:39" ht="31.2" x14ac:dyDescent="0.6">
      <c r="A56" s="71" t="s">
        <v>130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3"/>
      <c r="AL56" s="56" t="s">
        <v>143</v>
      </c>
      <c r="AM56" s="61">
        <v>1.1599999999999999</v>
      </c>
    </row>
    <row r="57" spans="1:39" ht="4.8" customHeight="1" x14ac:dyDescent="0.3"/>
    <row r="58" spans="1:39" x14ac:dyDescent="0.3">
      <c r="A58" s="68" t="s">
        <v>1</v>
      </c>
      <c r="B58" s="68" t="s">
        <v>19</v>
      </c>
      <c r="C58" s="76" t="s">
        <v>20</v>
      </c>
      <c r="D58" s="75" t="s">
        <v>32</v>
      </c>
      <c r="E58" s="75" t="s">
        <v>127</v>
      </c>
      <c r="F58" s="74" t="s">
        <v>121</v>
      </c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5" t="s">
        <v>119</v>
      </c>
      <c r="AL58" s="75" t="s">
        <v>128</v>
      </c>
      <c r="AM58" s="68" t="s">
        <v>124</v>
      </c>
    </row>
    <row r="59" spans="1:39" x14ac:dyDescent="0.3">
      <c r="A59" s="68"/>
      <c r="B59" s="68"/>
      <c r="C59" s="76"/>
      <c r="D59" s="75"/>
      <c r="E59" s="75"/>
      <c r="F59" s="38">
        <v>1</v>
      </c>
      <c r="G59" s="38">
        <v>2</v>
      </c>
      <c r="H59" s="38">
        <v>3</v>
      </c>
      <c r="I59" s="38">
        <v>4</v>
      </c>
      <c r="J59" s="38">
        <v>5</v>
      </c>
      <c r="K59" s="38">
        <v>6</v>
      </c>
      <c r="L59" s="38">
        <v>7</v>
      </c>
      <c r="M59" s="38">
        <v>8</v>
      </c>
      <c r="N59" s="38">
        <v>9</v>
      </c>
      <c r="O59" s="38">
        <v>10</v>
      </c>
      <c r="P59" s="38">
        <v>11</v>
      </c>
      <c r="Q59" s="38">
        <v>12</v>
      </c>
      <c r="R59" s="38">
        <v>13</v>
      </c>
      <c r="S59" s="38">
        <v>14</v>
      </c>
      <c r="T59" s="38">
        <v>15</v>
      </c>
      <c r="U59" s="38">
        <v>16</v>
      </c>
      <c r="V59" s="38">
        <v>17</v>
      </c>
      <c r="W59" s="38">
        <v>18</v>
      </c>
      <c r="X59" s="38">
        <v>19</v>
      </c>
      <c r="Y59" s="38">
        <v>20</v>
      </c>
      <c r="Z59" s="38">
        <v>21</v>
      </c>
      <c r="AA59" s="38">
        <v>22</v>
      </c>
      <c r="AB59" s="38">
        <v>23</v>
      </c>
      <c r="AC59" s="38">
        <v>24</v>
      </c>
      <c r="AD59" s="38">
        <v>25</v>
      </c>
      <c r="AE59" s="38">
        <v>26</v>
      </c>
      <c r="AF59" s="38">
        <v>27</v>
      </c>
      <c r="AG59" s="38">
        <v>28</v>
      </c>
      <c r="AH59" s="38">
        <v>29</v>
      </c>
      <c r="AI59" s="38">
        <v>30</v>
      </c>
      <c r="AJ59" s="38">
        <v>31</v>
      </c>
      <c r="AK59" s="75"/>
      <c r="AL59" s="75"/>
      <c r="AM59" s="68"/>
    </row>
    <row r="60" spans="1:39" ht="19.95" customHeight="1" x14ac:dyDescent="0.3">
      <c r="A60" s="43">
        <v>1</v>
      </c>
      <c r="B60" s="1" t="s">
        <v>7</v>
      </c>
      <c r="C60" s="1" t="s">
        <v>21</v>
      </c>
      <c r="D60" s="6">
        <v>46113</v>
      </c>
      <c r="E60" s="42">
        <v>25</v>
      </c>
      <c r="F60" s="5" t="s">
        <v>47</v>
      </c>
      <c r="G60" s="5" t="s">
        <v>47</v>
      </c>
      <c r="H60" s="5" t="s">
        <v>47</v>
      </c>
      <c r="I60" s="5" t="s">
        <v>48</v>
      </c>
      <c r="J60" s="5" t="s">
        <v>48</v>
      </c>
      <c r="K60" s="5" t="s">
        <v>47</v>
      </c>
      <c r="L60" s="5" t="s">
        <v>47</v>
      </c>
      <c r="M60" s="5" t="s">
        <v>47</v>
      </c>
      <c r="N60" s="5" t="s">
        <v>47</v>
      </c>
      <c r="O60" s="5" t="s">
        <v>47</v>
      </c>
      <c r="P60" s="5" t="s">
        <v>48</v>
      </c>
      <c r="Q60" s="5" t="s">
        <v>48</v>
      </c>
      <c r="R60" s="5" t="s">
        <v>47</v>
      </c>
      <c r="S60" s="5" t="s">
        <v>47</v>
      </c>
      <c r="T60" s="5" t="s">
        <v>47</v>
      </c>
      <c r="U60" s="5" t="s">
        <v>47</v>
      </c>
      <c r="V60" s="5" t="s">
        <v>47</v>
      </c>
      <c r="W60" s="5" t="s">
        <v>48</v>
      </c>
      <c r="X60" s="5" t="s">
        <v>48</v>
      </c>
      <c r="Y60" s="5" t="s">
        <v>47</v>
      </c>
      <c r="Z60" s="5" t="s">
        <v>47</v>
      </c>
      <c r="AA60" s="5" t="s">
        <v>47</v>
      </c>
      <c r="AB60" s="5" t="s">
        <v>47</v>
      </c>
      <c r="AC60" s="5" t="s">
        <v>47</v>
      </c>
      <c r="AD60" s="5" t="s">
        <v>48</v>
      </c>
      <c r="AE60" s="5" t="s">
        <v>48</v>
      </c>
      <c r="AF60" s="5" t="s">
        <v>47</v>
      </c>
      <c r="AG60" s="5" t="s">
        <v>47</v>
      </c>
      <c r="AH60" s="5" t="s">
        <v>47</v>
      </c>
      <c r="AI60" s="5" t="s">
        <v>47</v>
      </c>
      <c r="AJ60" s="5" t="s">
        <v>48</v>
      </c>
      <c r="AK60" s="5">
        <f>+COUNTIF(F60:AJ60,"SI")</f>
        <v>22</v>
      </c>
      <c r="AL60" s="50">
        <f t="shared" ref="AL60:AL64" si="10">+AK60*E60</f>
        <v>550</v>
      </c>
      <c r="AM60" s="50">
        <f>+AL60*$AM$56</f>
        <v>638</v>
      </c>
    </row>
    <row r="61" spans="1:39" ht="19.95" customHeight="1" x14ac:dyDescent="0.3">
      <c r="A61" s="43">
        <v>2</v>
      </c>
      <c r="B61" s="1" t="s">
        <v>8</v>
      </c>
      <c r="C61" s="1" t="s">
        <v>22</v>
      </c>
      <c r="D61" s="6">
        <v>46118</v>
      </c>
      <c r="E61" s="42">
        <v>25</v>
      </c>
      <c r="F61" s="5" t="s">
        <v>47</v>
      </c>
      <c r="G61" s="5" t="s">
        <v>47</v>
      </c>
      <c r="H61" s="5" t="s">
        <v>47</v>
      </c>
      <c r="I61" s="5" t="s">
        <v>48</v>
      </c>
      <c r="J61" s="5" t="s">
        <v>48</v>
      </c>
      <c r="K61" s="5" t="s">
        <v>47</v>
      </c>
      <c r="L61" s="5" t="s">
        <v>47</v>
      </c>
      <c r="M61" s="5" t="s">
        <v>47</v>
      </c>
      <c r="N61" s="5" t="s">
        <v>47</v>
      </c>
      <c r="O61" s="5" t="s">
        <v>47</v>
      </c>
      <c r="P61" s="5" t="s">
        <v>48</v>
      </c>
      <c r="Q61" s="5" t="s">
        <v>48</v>
      </c>
      <c r="R61" s="5" t="s">
        <v>47</v>
      </c>
      <c r="S61" s="5" t="s">
        <v>47</v>
      </c>
      <c r="T61" s="5" t="s">
        <v>47</v>
      </c>
      <c r="U61" s="5" t="s">
        <v>47</v>
      </c>
      <c r="V61" s="5" t="s">
        <v>47</v>
      </c>
      <c r="W61" s="5" t="s">
        <v>48</v>
      </c>
      <c r="X61" s="5" t="s">
        <v>48</v>
      </c>
      <c r="Y61" s="5" t="s">
        <v>47</v>
      </c>
      <c r="Z61" s="5" t="s">
        <v>47</v>
      </c>
      <c r="AA61" s="5" t="s">
        <v>47</v>
      </c>
      <c r="AB61" s="5" t="s">
        <v>47</v>
      </c>
      <c r="AC61" s="5" t="s">
        <v>47</v>
      </c>
      <c r="AD61" s="5" t="s">
        <v>48</v>
      </c>
      <c r="AE61" s="5" t="s">
        <v>48</v>
      </c>
      <c r="AF61" s="5" t="s">
        <v>47</v>
      </c>
      <c r="AG61" s="5" t="s">
        <v>47</v>
      </c>
      <c r="AH61" s="5" t="s">
        <v>47</v>
      </c>
      <c r="AI61" s="5" t="s">
        <v>47</v>
      </c>
      <c r="AJ61" s="5" t="s">
        <v>48</v>
      </c>
      <c r="AK61" s="5">
        <f t="shared" ref="AK61:AK64" si="11">+COUNTIF(F61:AJ61,"SI")</f>
        <v>22</v>
      </c>
      <c r="AL61" s="50">
        <f t="shared" si="10"/>
        <v>550</v>
      </c>
      <c r="AM61" s="50">
        <f t="shared" ref="AM61:AM64" si="12">+AL61*$AM$56</f>
        <v>638</v>
      </c>
    </row>
    <row r="62" spans="1:39" ht="19.95" customHeight="1" x14ac:dyDescent="0.3">
      <c r="A62" s="43">
        <v>5</v>
      </c>
      <c r="B62" s="1" t="s">
        <v>11</v>
      </c>
      <c r="C62" s="1" t="s">
        <v>25</v>
      </c>
      <c r="D62" s="6">
        <v>46113</v>
      </c>
      <c r="E62" s="42">
        <v>25</v>
      </c>
      <c r="F62" s="5" t="s">
        <v>47</v>
      </c>
      <c r="G62" s="5" t="s">
        <v>47</v>
      </c>
      <c r="H62" s="5" t="s">
        <v>47</v>
      </c>
      <c r="I62" s="5" t="s">
        <v>48</v>
      </c>
      <c r="J62" s="5" t="s">
        <v>48</v>
      </c>
      <c r="K62" s="5" t="s">
        <v>47</v>
      </c>
      <c r="L62" s="5" t="s">
        <v>47</v>
      </c>
      <c r="M62" s="5" t="s">
        <v>47</v>
      </c>
      <c r="N62" s="5" t="s">
        <v>47</v>
      </c>
      <c r="O62" s="5" t="s">
        <v>47</v>
      </c>
      <c r="P62" s="5" t="s">
        <v>48</v>
      </c>
      <c r="Q62" s="5" t="s">
        <v>48</v>
      </c>
      <c r="R62" s="5" t="s">
        <v>47</v>
      </c>
      <c r="S62" s="5" t="s">
        <v>47</v>
      </c>
      <c r="T62" s="5" t="s">
        <v>47</v>
      </c>
      <c r="U62" s="5" t="s">
        <v>47</v>
      </c>
      <c r="V62" s="5" t="s">
        <v>47</v>
      </c>
      <c r="W62" s="5" t="s">
        <v>48</v>
      </c>
      <c r="X62" s="5" t="s">
        <v>48</v>
      </c>
      <c r="Y62" s="5" t="s">
        <v>47</v>
      </c>
      <c r="Z62" s="5" t="s">
        <v>47</v>
      </c>
      <c r="AA62" s="5" t="s">
        <v>47</v>
      </c>
      <c r="AB62" s="5" t="s">
        <v>47</v>
      </c>
      <c r="AC62" s="5" t="s">
        <v>47</v>
      </c>
      <c r="AD62" s="5" t="s">
        <v>48</v>
      </c>
      <c r="AE62" s="5" t="s">
        <v>48</v>
      </c>
      <c r="AF62" s="5" t="s">
        <v>47</v>
      </c>
      <c r="AG62" s="5" t="s">
        <v>47</v>
      </c>
      <c r="AH62" s="5" t="s">
        <v>47</v>
      </c>
      <c r="AI62" s="5" t="s">
        <v>47</v>
      </c>
      <c r="AJ62" s="5" t="s">
        <v>48</v>
      </c>
      <c r="AK62" s="5">
        <f t="shared" si="11"/>
        <v>22</v>
      </c>
      <c r="AL62" s="50">
        <f t="shared" si="10"/>
        <v>550</v>
      </c>
      <c r="AM62" s="50">
        <f t="shared" si="12"/>
        <v>638</v>
      </c>
    </row>
    <row r="63" spans="1:39" ht="19.95" customHeight="1" x14ac:dyDescent="0.3">
      <c r="A63" s="43">
        <v>8</v>
      </c>
      <c r="B63" s="1" t="s">
        <v>14</v>
      </c>
      <c r="C63" s="1" t="s">
        <v>28</v>
      </c>
      <c r="D63" s="6">
        <v>46113</v>
      </c>
      <c r="E63" s="42">
        <v>25</v>
      </c>
      <c r="F63" s="5" t="s">
        <v>47</v>
      </c>
      <c r="G63" s="5" t="s">
        <v>47</v>
      </c>
      <c r="H63" s="5" t="s">
        <v>47</v>
      </c>
      <c r="I63" s="5" t="s">
        <v>48</v>
      </c>
      <c r="J63" s="5" t="s">
        <v>48</v>
      </c>
      <c r="K63" s="5" t="s">
        <v>47</v>
      </c>
      <c r="L63" s="5" t="s">
        <v>47</v>
      </c>
      <c r="M63" s="5" t="s">
        <v>47</v>
      </c>
      <c r="N63" s="5" t="s">
        <v>47</v>
      </c>
      <c r="O63" s="5" t="s">
        <v>47</v>
      </c>
      <c r="P63" s="5" t="s">
        <v>48</v>
      </c>
      <c r="Q63" s="5" t="s">
        <v>48</v>
      </c>
      <c r="R63" s="5" t="s">
        <v>47</v>
      </c>
      <c r="S63" s="5" t="s">
        <v>47</v>
      </c>
      <c r="T63" s="5" t="s">
        <v>47</v>
      </c>
      <c r="U63" s="5" t="s">
        <v>47</v>
      </c>
      <c r="V63" s="5" t="s">
        <v>47</v>
      </c>
      <c r="W63" s="5" t="s">
        <v>48</v>
      </c>
      <c r="X63" s="5" t="s">
        <v>48</v>
      </c>
      <c r="Y63" s="5" t="s">
        <v>47</v>
      </c>
      <c r="Z63" s="5" t="s">
        <v>47</v>
      </c>
      <c r="AA63" s="5" t="s">
        <v>47</v>
      </c>
      <c r="AB63" s="5" t="s">
        <v>47</v>
      </c>
      <c r="AC63" s="5" t="s">
        <v>47</v>
      </c>
      <c r="AD63" s="5" t="s">
        <v>48</v>
      </c>
      <c r="AE63" s="5" t="s">
        <v>48</v>
      </c>
      <c r="AF63" s="5" t="s">
        <v>47</v>
      </c>
      <c r="AG63" s="5" t="s">
        <v>47</v>
      </c>
      <c r="AH63" s="5" t="s">
        <v>47</v>
      </c>
      <c r="AI63" s="5" t="s">
        <v>47</v>
      </c>
      <c r="AJ63" s="5" t="s">
        <v>48</v>
      </c>
      <c r="AK63" s="5">
        <f t="shared" si="11"/>
        <v>22</v>
      </c>
      <c r="AL63" s="50">
        <f t="shared" si="10"/>
        <v>550</v>
      </c>
      <c r="AM63" s="50">
        <f t="shared" si="12"/>
        <v>638</v>
      </c>
    </row>
    <row r="64" spans="1:39" ht="19.95" customHeight="1" x14ac:dyDescent="0.3">
      <c r="A64" s="43">
        <v>9</v>
      </c>
      <c r="B64" s="1" t="s">
        <v>15</v>
      </c>
      <c r="C64" s="1" t="s">
        <v>29</v>
      </c>
      <c r="D64" s="6">
        <v>46113</v>
      </c>
      <c r="E64" s="42">
        <v>25</v>
      </c>
      <c r="F64" s="5" t="s">
        <v>47</v>
      </c>
      <c r="G64" s="5" t="s">
        <v>47</v>
      </c>
      <c r="H64" s="5" t="s">
        <v>47</v>
      </c>
      <c r="I64" s="5" t="s">
        <v>48</v>
      </c>
      <c r="J64" s="5" t="s">
        <v>48</v>
      </c>
      <c r="K64" s="5" t="s">
        <v>47</v>
      </c>
      <c r="L64" s="5" t="s">
        <v>47</v>
      </c>
      <c r="M64" s="5" t="s">
        <v>47</v>
      </c>
      <c r="N64" s="5" t="s">
        <v>47</v>
      </c>
      <c r="O64" s="5" t="s">
        <v>47</v>
      </c>
      <c r="P64" s="5" t="s">
        <v>48</v>
      </c>
      <c r="Q64" s="5" t="s">
        <v>48</v>
      </c>
      <c r="R64" s="5" t="s">
        <v>47</v>
      </c>
      <c r="S64" s="5" t="s">
        <v>47</v>
      </c>
      <c r="T64" s="5" t="s">
        <v>47</v>
      </c>
      <c r="U64" s="5" t="s">
        <v>47</v>
      </c>
      <c r="V64" s="5" t="s">
        <v>47</v>
      </c>
      <c r="W64" s="5" t="s">
        <v>48</v>
      </c>
      <c r="X64" s="5" t="s">
        <v>48</v>
      </c>
      <c r="Y64" s="5" t="s">
        <v>47</v>
      </c>
      <c r="Z64" s="5" t="s">
        <v>47</v>
      </c>
      <c r="AA64" s="5" t="s">
        <v>47</v>
      </c>
      <c r="AB64" s="5" t="s">
        <v>47</v>
      </c>
      <c r="AC64" s="5" t="s">
        <v>47</v>
      </c>
      <c r="AD64" s="5" t="s">
        <v>48</v>
      </c>
      <c r="AE64" s="5" t="s">
        <v>48</v>
      </c>
      <c r="AF64" s="5" t="s">
        <v>47</v>
      </c>
      <c r="AG64" s="5" t="s">
        <v>47</v>
      </c>
      <c r="AH64" s="5" t="s">
        <v>47</v>
      </c>
      <c r="AI64" s="5" t="s">
        <v>47</v>
      </c>
      <c r="AJ64" s="5" t="s">
        <v>48</v>
      </c>
      <c r="AK64" s="5">
        <f t="shared" si="11"/>
        <v>22</v>
      </c>
      <c r="AL64" s="50">
        <f t="shared" si="10"/>
        <v>550</v>
      </c>
      <c r="AM64" s="50">
        <f t="shared" si="12"/>
        <v>638</v>
      </c>
    </row>
    <row r="65" spans="1:39" x14ac:dyDescent="0.3">
      <c r="AM65" s="49">
        <f>SUM(AM61:AM64)</f>
        <v>2552</v>
      </c>
    </row>
    <row r="66" spans="1:39" ht="7.8" customHeight="1" x14ac:dyDescent="0.3"/>
    <row r="67" spans="1:39" ht="25.8" x14ac:dyDescent="0.5">
      <c r="A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152" t="s">
        <v>142</v>
      </c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1">
        <f>+AM26+P37+AM34+AM47+AM55+AM65</f>
        <v>38888.48725000002</v>
      </c>
      <c r="AM67" s="151"/>
    </row>
    <row r="68" spans="1:39" ht="5.4" customHeight="1" x14ac:dyDescent="0.3"/>
    <row r="69" spans="1:39" ht="23.4" x14ac:dyDescent="0.45">
      <c r="W69" s="142" t="s">
        <v>145</v>
      </c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</row>
    <row r="71" spans="1:39" x14ac:dyDescent="0.3">
      <c r="C71" s="137"/>
      <c r="D71" s="138"/>
      <c r="E71" s="138"/>
      <c r="F71" s="138"/>
      <c r="G71" s="138"/>
      <c r="H71" s="138"/>
      <c r="I71" s="138"/>
      <c r="J71" s="138"/>
      <c r="K71" s="138"/>
      <c r="L71" s="138"/>
      <c r="M71" s="139"/>
      <c r="O71" s="137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9"/>
      <c r="AC71" s="137"/>
      <c r="AD71" s="138"/>
      <c r="AE71" s="138"/>
      <c r="AF71" s="138"/>
      <c r="AG71" s="138"/>
      <c r="AH71" s="138"/>
      <c r="AI71" s="138"/>
      <c r="AJ71" s="138"/>
      <c r="AK71" s="138"/>
      <c r="AL71" s="138"/>
      <c r="AM71" s="139"/>
    </row>
    <row r="72" spans="1:39" x14ac:dyDescent="0.3">
      <c r="C72" s="140"/>
      <c r="D72" s="131"/>
      <c r="E72" s="131"/>
      <c r="F72" s="131"/>
      <c r="G72" s="131"/>
      <c r="H72" s="131"/>
      <c r="I72" s="131"/>
      <c r="J72" s="131"/>
      <c r="K72" s="131"/>
      <c r="L72" s="131"/>
      <c r="M72" s="132"/>
      <c r="O72" s="140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2"/>
      <c r="AC72" s="140"/>
      <c r="AD72" s="131"/>
      <c r="AE72" s="131"/>
      <c r="AF72" s="131"/>
      <c r="AG72" s="131"/>
      <c r="AH72" s="131"/>
      <c r="AI72" s="131"/>
      <c r="AJ72" s="131"/>
      <c r="AK72" s="131"/>
      <c r="AL72" s="131"/>
      <c r="AM72" s="132"/>
    </row>
    <row r="73" spans="1:39" x14ac:dyDescent="0.3">
      <c r="C73" s="140"/>
      <c r="D73" s="131"/>
      <c r="E73" s="131"/>
      <c r="F73" s="131"/>
      <c r="G73" s="131"/>
      <c r="H73" s="131"/>
      <c r="I73" s="131"/>
      <c r="J73" s="131"/>
      <c r="K73" s="131"/>
      <c r="L73" s="131"/>
      <c r="M73" s="132"/>
      <c r="O73" s="140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2"/>
      <c r="AC73" s="140"/>
      <c r="AD73" s="131"/>
      <c r="AE73" s="131"/>
      <c r="AF73" s="131"/>
      <c r="AG73" s="131"/>
      <c r="AH73" s="131"/>
      <c r="AI73" s="131"/>
      <c r="AJ73" s="131"/>
      <c r="AK73" s="131"/>
      <c r="AL73" s="131"/>
      <c r="AM73" s="132"/>
    </row>
    <row r="74" spans="1:39" x14ac:dyDescent="0.3">
      <c r="C74" s="141"/>
      <c r="D74" s="133"/>
      <c r="E74" s="133"/>
      <c r="F74" s="133"/>
      <c r="G74" s="133"/>
      <c r="H74" s="133"/>
      <c r="I74" s="133"/>
      <c r="J74" s="133"/>
      <c r="K74" s="133"/>
      <c r="L74" s="133"/>
      <c r="M74" s="134"/>
      <c r="O74" s="141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4"/>
      <c r="AC74" s="141"/>
      <c r="AD74" s="133"/>
      <c r="AE74" s="133"/>
      <c r="AF74" s="133"/>
      <c r="AG74" s="133"/>
      <c r="AH74" s="133"/>
      <c r="AI74" s="133"/>
      <c r="AJ74" s="133"/>
      <c r="AK74" s="133"/>
      <c r="AL74" s="133"/>
      <c r="AM74" s="134"/>
    </row>
    <row r="75" spans="1:39" ht="14.4" customHeight="1" x14ac:dyDescent="0.3">
      <c r="C75" s="119" t="s">
        <v>6</v>
      </c>
      <c r="D75" s="120"/>
      <c r="E75" s="120"/>
      <c r="F75" s="120"/>
      <c r="G75" s="120"/>
      <c r="H75" s="120"/>
      <c r="I75" s="120"/>
      <c r="J75" s="120"/>
      <c r="K75" s="120"/>
      <c r="L75" s="120"/>
      <c r="M75" s="121"/>
      <c r="O75" s="119" t="s">
        <v>144</v>
      </c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1"/>
      <c r="AC75" s="119" t="s">
        <v>144</v>
      </c>
      <c r="AD75" s="120"/>
      <c r="AE75" s="120"/>
      <c r="AF75" s="120"/>
      <c r="AG75" s="120"/>
      <c r="AH75" s="120"/>
      <c r="AI75" s="120"/>
      <c r="AJ75" s="120"/>
      <c r="AK75" s="120"/>
      <c r="AL75" s="120"/>
      <c r="AM75" s="121"/>
    </row>
    <row r="76" spans="1:39" ht="14.4" customHeight="1" x14ac:dyDescent="0.3">
      <c r="C76" s="122"/>
      <c r="D76" s="123"/>
      <c r="E76" s="123"/>
      <c r="F76" s="123"/>
      <c r="G76" s="123"/>
      <c r="H76" s="123"/>
      <c r="I76" s="123"/>
      <c r="J76" s="123"/>
      <c r="K76" s="123"/>
      <c r="L76" s="123"/>
      <c r="M76" s="124"/>
      <c r="O76" s="122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4"/>
      <c r="AC76" s="122"/>
      <c r="AD76" s="123"/>
      <c r="AE76" s="123"/>
      <c r="AF76" s="123"/>
      <c r="AG76" s="123"/>
      <c r="AH76" s="123"/>
      <c r="AI76" s="123"/>
      <c r="AJ76" s="123"/>
      <c r="AK76" s="123"/>
      <c r="AL76" s="123"/>
      <c r="AM76" s="124"/>
    </row>
    <row r="78" spans="1:39" ht="14.4" customHeight="1" x14ac:dyDescent="0.3"/>
    <row r="79" spans="1:39" ht="14.4" customHeight="1" x14ac:dyDescent="0.3"/>
  </sheetData>
  <mergeCells count="109">
    <mergeCell ref="C75:M76"/>
    <mergeCell ref="D1:AK2"/>
    <mergeCell ref="F7:V8"/>
    <mergeCell ref="Y7:AK8"/>
    <mergeCell ref="AC75:AM76"/>
    <mergeCell ref="AC71:AM74"/>
    <mergeCell ref="W69:AM69"/>
    <mergeCell ref="O71:AA74"/>
    <mergeCell ref="O75:AA76"/>
    <mergeCell ref="C71:M74"/>
    <mergeCell ref="AL8:AM8"/>
    <mergeCell ref="AL2:AM7"/>
    <mergeCell ref="AL67:AM67"/>
    <mergeCell ref="W67:AK67"/>
    <mergeCell ref="A39:AK39"/>
    <mergeCell ref="A48:AK48"/>
    <mergeCell ref="A56:AK56"/>
    <mergeCell ref="F33:G33"/>
    <mergeCell ref="F34:G34"/>
    <mergeCell ref="F35:G35"/>
    <mergeCell ref="F36:G36"/>
    <mergeCell ref="U28:AM28"/>
    <mergeCell ref="F30:G31"/>
    <mergeCell ref="D30:D31"/>
    <mergeCell ref="E30:E31"/>
    <mergeCell ref="F32:G32"/>
    <mergeCell ref="P37:S37"/>
    <mergeCell ref="H30:J31"/>
    <mergeCell ref="H32:J32"/>
    <mergeCell ref="H33:J33"/>
    <mergeCell ref="H34:J34"/>
    <mergeCell ref="H35:J35"/>
    <mergeCell ref="H36:J36"/>
    <mergeCell ref="P34:S34"/>
    <mergeCell ref="P35:S35"/>
    <mergeCell ref="P36:S36"/>
    <mergeCell ref="N30:O31"/>
    <mergeCell ref="N32:O32"/>
    <mergeCell ref="N33:O33"/>
    <mergeCell ref="N34:O34"/>
    <mergeCell ref="N35:O35"/>
    <mergeCell ref="N36:O36"/>
    <mergeCell ref="K36:M36"/>
    <mergeCell ref="P32:S32"/>
    <mergeCell ref="P33:S33"/>
    <mergeCell ref="K32:M32"/>
    <mergeCell ref="K33:M33"/>
    <mergeCell ref="K34:M34"/>
    <mergeCell ref="K35:M35"/>
    <mergeCell ref="K30:M31"/>
    <mergeCell ref="U30:V31"/>
    <mergeCell ref="U32:V32"/>
    <mergeCell ref="U33:V33"/>
    <mergeCell ref="AJ32:AK32"/>
    <mergeCell ref="AJ33:AK33"/>
    <mergeCell ref="W30:AI31"/>
    <mergeCell ref="W32:AI32"/>
    <mergeCell ref="W33:AI33"/>
    <mergeCell ref="AK58:AK59"/>
    <mergeCell ref="AL58:AL59"/>
    <mergeCell ref="AM58:AM59"/>
    <mergeCell ref="AK50:AK51"/>
    <mergeCell ref="AL50:AL51"/>
    <mergeCell ref="AM50:AM51"/>
    <mergeCell ref="A58:A59"/>
    <mergeCell ref="B58:B59"/>
    <mergeCell ref="C58:C59"/>
    <mergeCell ref="D58:D59"/>
    <mergeCell ref="E58:E59"/>
    <mergeCell ref="F58:AJ58"/>
    <mergeCell ref="AK41:AK42"/>
    <mergeCell ref="AL41:AL42"/>
    <mergeCell ref="AM41:AM42"/>
    <mergeCell ref="A50:A51"/>
    <mergeCell ref="B50:B51"/>
    <mergeCell ref="C50:C51"/>
    <mergeCell ref="D50:D51"/>
    <mergeCell ref="E50:E51"/>
    <mergeCell ref="F50:AJ50"/>
    <mergeCell ref="A41:A42"/>
    <mergeCell ref="B41:B42"/>
    <mergeCell ref="C41:C42"/>
    <mergeCell ref="D41:D42"/>
    <mergeCell ref="E41:E42"/>
    <mergeCell ref="F41:AJ41"/>
    <mergeCell ref="B12:B13"/>
    <mergeCell ref="A12:A13"/>
    <mergeCell ref="AM12:AM13"/>
    <mergeCell ref="A1:C8"/>
    <mergeCell ref="A10:AM10"/>
    <mergeCell ref="B30:B31"/>
    <mergeCell ref="F12:AJ12"/>
    <mergeCell ref="AK12:AK13"/>
    <mergeCell ref="AL12:AL13"/>
    <mergeCell ref="E12:E13"/>
    <mergeCell ref="D12:D13"/>
    <mergeCell ref="C12:C13"/>
    <mergeCell ref="E3:V4"/>
    <mergeCell ref="E5:V6"/>
    <mergeCell ref="Y3:AK4"/>
    <mergeCell ref="AB5:AK6"/>
    <mergeCell ref="W5:AA6"/>
    <mergeCell ref="AL30:AL31"/>
    <mergeCell ref="AM30:AM31"/>
    <mergeCell ref="AJ30:AK31"/>
    <mergeCell ref="P30:S31"/>
    <mergeCell ref="A28:S28"/>
    <mergeCell ref="C30:C31"/>
    <mergeCell ref="A30:A31"/>
  </mergeCells>
  <conditionalFormatting sqref="F14:AJ25 F43:AJ47 F52:AJ54 F60:AJ64">
    <cfRule type="cellIs" dxfId="1" priority="11" operator="equal">
      <formula>"NO"</formula>
    </cfRule>
    <cfRule type="cellIs" dxfId="0" priority="12" operator="equal">
      <formula>"SI"</formula>
    </cfRule>
  </conditionalFormatting>
  <printOptions horizontalCentered="1" verticalCentered="1"/>
  <pageMargins left="0.11811023622047245" right="0.11811023622047245" top="0.15748031496062992" bottom="0.15748031496062992" header="0.31496062992125984" footer="0.11811023622047245"/>
  <pageSetup paperSize="9" scale="4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48B8-D7C0-4EE1-B673-11ED00E41A5F}">
  <dimension ref="A2:H43"/>
  <sheetViews>
    <sheetView tabSelected="1" zoomScale="85" zoomScaleNormal="85" workbookViewId="0">
      <selection activeCell="H21" sqref="H21"/>
    </sheetView>
  </sheetViews>
  <sheetFormatPr defaultColWidth="11.5546875" defaultRowHeight="14.4" x14ac:dyDescent="0.3"/>
  <cols>
    <col min="1" max="1" width="15.88671875" customWidth="1"/>
    <col min="2" max="2" width="14.33203125" customWidth="1"/>
    <col min="3" max="3" width="14.109375" bestFit="1" customWidth="1"/>
    <col min="4" max="4" width="12.33203125" bestFit="1" customWidth="1"/>
    <col min="6" max="6" width="14.88671875" bestFit="1" customWidth="1"/>
    <col min="7" max="7" width="17.44140625" bestFit="1" customWidth="1"/>
    <col min="8" max="8" width="15.33203125" bestFit="1" customWidth="1"/>
  </cols>
  <sheetData>
    <row r="2" spans="1:8" x14ac:dyDescent="0.3">
      <c r="A2" s="157" t="s">
        <v>50</v>
      </c>
      <c r="B2" s="157"/>
      <c r="C2" s="157"/>
      <c r="D2" s="157"/>
      <c r="E2" s="157"/>
      <c r="F2" s="157"/>
      <c r="G2" s="157"/>
      <c r="H2" s="157"/>
    </row>
    <row r="3" spans="1:8" ht="4.8" customHeight="1" x14ac:dyDescent="0.3"/>
    <row r="4" spans="1:8" x14ac:dyDescent="0.3">
      <c r="A4" s="40" t="s">
        <v>1</v>
      </c>
      <c r="B4" s="3">
        <v>1</v>
      </c>
    </row>
    <row r="5" spans="1:8" x14ac:dyDescent="0.3">
      <c r="A5" s="40" t="s">
        <v>19</v>
      </c>
      <c r="B5" s="3" t="str">
        <f>+VLOOKUP(B4,PLANILLA!A2:S13,2,FALSE)</f>
        <v>RAMIRO ARMANDO  SUAREZ  RIBERO</v>
      </c>
    </row>
    <row r="6" spans="1:8" x14ac:dyDescent="0.3">
      <c r="A6" s="40" t="s">
        <v>20</v>
      </c>
      <c r="B6" s="3" t="str">
        <f>+VLOOKUP(B4,PLANILLA!A2:S13,6,FALSE)</f>
        <v>Project Manager Central</v>
      </c>
    </row>
    <row r="7" spans="1:8" x14ac:dyDescent="0.3">
      <c r="A7" s="40" t="s">
        <v>37</v>
      </c>
      <c r="B7" s="12">
        <f>+VLOOKUP(B4,PLANILLA!A2:S13,14,FALSE)</f>
        <v>9500</v>
      </c>
    </row>
    <row r="8" spans="1:8" ht="4.8" customHeight="1" x14ac:dyDescent="0.3"/>
    <row r="9" spans="1:8" x14ac:dyDescent="0.3">
      <c r="A9" s="39" t="s">
        <v>38</v>
      </c>
      <c r="B9" s="39" t="s">
        <v>39</v>
      </c>
      <c r="C9" s="39" t="s">
        <v>40</v>
      </c>
      <c r="D9" s="39" t="s">
        <v>41</v>
      </c>
      <c r="E9" s="39" t="s">
        <v>42</v>
      </c>
      <c r="F9" s="39" t="s">
        <v>43</v>
      </c>
      <c r="G9" s="39" t="s">
        <v>46</v>
      </c>
      <c r="H9" s="39" t="s">
        <v>120</v>
      </c>
    </row>
    <row r="10" spans="1:8" x14ac:dyDescent="0.3">
      <c r="A10" s="8">
        <v>46113</v>
      </c>
      <c r="B10" s="9">
        <f>+A10</f>
        <v>46113</v>
      </c>
      <c r="C10" s="10">
        <v>0.33333333333333331</v>
      </c>
      <c r="D10" s="10">
        <v>0.79166666666666663</v>
      </c>
      <c r="E10" s="1">
        <v>1</v>
      </c>
      <c r="F10" s="11">
        <f>+(D10-C10)*24-E10</f>
        <v>10</v>
      </c>
      <c r="G10" s="41" t="str">
        <f>+IF(C10&gt;0.333333333333333,+(C10-0.333333333333333)*24*60,"0")</f>
        <v>0</v>
      </c>
      <c r="H10" s="1"/>
    </row>
    <row r="11" spans="1:8" x14ac:dyDescent="0.3">
      <c r="A11" s="8">
        <v>46114</v>
      </c>
      <c r="B11" s="9">
        <f t="shared" ref="B11:B39" si="0">+A11</f>
        <v>46114</v>
      </c>
      <c r="C11" s="10">
        <v>0.33333333333333331</v>
      </c>
      <c r="D11" s="10">
        <v>0.79166666666666663</v>
      </c>
      <c r="E11" s="1">
        <v>1</v>
      </c>
      <c r="F11" s="11">
        <f t="shared" ref="F11:F15" si="1">+(D11-C11)*24-E11</f>
        <v>10</v>
      </c>
      <c r="G11" s="41" t="str">
        <f t="shared" ref="G11:G39" si="2">+IF(C11&gt;0.333333333333333,+(C11-0.333333333333333)*24*60,"0")</f>
        <v>0</v>
      </c>
      <c r="H11" s="1"/>
    </row>
    <row r="12" spans="1:8" x14ac:dyDescent="0.3">
      <c r="A12" s="8">
        <v>46115</v>
      </c>
      <c r="B12" s="9">
        <f t="shared" si="0"/>
        <v>46115</v>
      </c>
      <c r="C12" s="10">
        <v>0.33333333333333331</v>
      </c>
      <c r="D12" s="10">
        <v>0.79166666666666663</v>
      </c>
      <c r="E12" s="1">
        <v>1</v>
      </c>
      <c r="F12" s="11">
        <f t="shared" si="1"/>
        <v>10</v>
      </c>
      <c r="G12" s="41" t="str">
        <f t="shared" si="2"/>
        <v>0</v>
      </c>
      <c r="H12" s="1"/>
    </row>
    <row r="13" spans="1:8" x14ac:dyDescent="0.3">
      <c r="A13" s="8">
        <v>46116</v>
      </c>
      <c r="B13" s="9">
        <f t="shared" si="0"/>
        <v>46116</v>
      </c>
      <c r="C13" s="10"/>
      <c r="D13" s="10"/>
      <c r="E13" s="1"/>
      <c r="F13" s="11">
        <f t="shared" si="1"/>
        <v>0</v>
      </c>
      <c r="G13" s="41" t="str">
        <f t="shared" si="2"/>
        <v>0</v>
      </c>
      <c r="H13" s="1"/>
    </row>
    <row r="14" spans="1:8" x14ac:dyDescent="0.3">
      <c r="A14" s="8">
        <v>46117</v>
      </c>
      <c r="B14" s="9">
        <f t="shared" si="0"/>
        <v>46117</v>
      </c>
      <c r="C14" s="10"/>
      <c r="D14" s="10"/>
      <c r="E14" s="1"/>
      <c r="F14" s="11">
        <f t="shared" si="1"/>
        <v>0</v>
      </c>
      <c r="G14" s="41" t="str">
        <f t="shared" si="2"/>
        <v>0</v>
      </c>
      <c r="H14" s="1"/>
    </row>
    <row r="15" spans="1:8" x14ac:dyDescent="0.3">
      <c r="A15" s="8">
        <v>46118</v>
      </c>
      <c r="B15" s="9">
        <f t="shared" si="0"/>
        <v>46118</v>
      </c>
      <c r="C15" s="10">
        <v>0.33333333333333331</v>
      </c>
      <c r="D15" s="10">
        <v>0.79166666666666663</v>
      </c>
      <c r="E15" s="1">
        <v>1</v>
      </c>
      <c r="F15" s="11">
        <f t="shared" si="1"/>
        <v>10</v>
      </c>
      <c r="G15" s="41" t="str">
        <f t="shared" si="2"/>
        <v>0</v>
      </c>
      <c r="H15" s="1"/>
    </row>
    <row r="16" spans="1:8" x14ac:dyDescent="0.3">
      <c r="A16" s="8">
        <v>46119</v>
      </c>
      <c r="B16" s="9">
        <f t="shared" si="0"/>
        <v>46119</v>
      </c>
      <c r="C16" s="10">
        <v>0.33333333333333331</v>
      </c>
      <c r="D16" s="10">
        <v>0.79166666666666663</v>
      </c>
      <c r="E16" s="1">
        <v>1</v>
      </c>
      <c r="F16" s="11">
        <f>+(D16-C16)*24-E16</f>
        <v>10</v>
      </c>
      <c r="G16" s="41" t="str">
        <f t="shared" si="2"/>
        <v>0</v>
      </c>
      <c r="H16" s="1"/>
    </row>
    <row r="17" spans="1:8" x14ac:dyDescent="0.3">
      <c r="A17" s="8">
        <v>46120</v>
      </c>
      <c r="B17" s="9">
        <f t="shared" si="0"/>
        <v>46120</v>
      </c>
      <c r="C17" s="10">
        <v>0.33333333333333331</v>
      </c>
      <c r="D17" s="10">
        <v>0.79166666666666663</v>
      </c>
      <c r="E17" s="1">
        <v>1</v>
      </c>
      <c r="F17" s="11">
        <f t="shared" ref="F17:F21" si="3">+(D17-C17)*24-E17</f>
        <v>10</v>
      </c>
      <c r="G17" s="41" t="str">
        <f t="shared" si="2"/>
        <v>0</v>
      </c>
      <c r="H17" s="1"/>
    </row>
    <row r="18" spans="1:8" x14ac:dyDescent="0.3">
      <c r="A18" s="8">
        <v>46121</v>
      </c>
      <c r="B18" s="9">
        <f t="shared" si="0"/>
        <v>46121</v>
      </c>
      <c r="C18" s="10">
        <v>0.33333333333333331</v>
      </c>
      <c r="D18" s="10">
        <v>0.79166666666666663</v>
      </c>
      <c r="E18" s="1">
        <v>1</v>
      </c>
      <c r="F18" s="11">
        <f t="shared" si="3"/>
        <v>10</v>
      </c>
      <c r="G18" s="41" t="str">
        <f t="shared" si="2"/>
        <v>0</v>
      </c>
      <c r="H18" s="1"/>
    </row>
    <row r="19" spans="1:8" x14ac:dyDescent="0.3">
      <c r="A19" s="8">
        <v>46122</v>
      </c>
      <c r="B19" s="9">
        <f t="shared" si="0"/>
        <v>46122</v>
      </c>
      <c r="C19" s="10">
        <v>0.33333333333333331</v>
      </c>
      <c r="D19" s="10">
        <v>0.79166666666666663</v>
      </c>
      <c r="E19" s="1">
        <v>1</v>
      </c>
      <c r="F19" s="11">
        <f t="shared" si="3"/>
        <v>10</v>
      </c>
      <c r="G19" s="41" t="str">
        <f t="shared" si="2"/>
        <v>0</v>
      </c>
      <c r="H19" s="1"/>
    </row>
    <row r="20" spans="1:8" x14ac:dyDescent="0.3">
      <c r="A20" s="8">
        <v>46123</v>
      </c>
      <c r="B20" s="9">
        <f t="shared" si="0"/>
        <v>46123</v>
      </c>
      <c r="C20" s="10"/>
      <c r="D20" s="10"/>
      <c r="E20" s="1"/>
      <c r="F20" s="11">
        <f t="shared" si="3"/>
        <v>0</v>
      </c>
      <c r="G20" s="41" t="str">
        <f t="shared" si="2"/>
        <v>0</v>
      </c>
      <c r="H20" s="1"/>
    </row>
    <row r="21" spans="1:8" x14ac:dyDescent="0.3">
      <c r="A21" s="8">
        <v>46124</v>
      </c>
      <c r="B21" s="9">
        <f t="shared" si="0"/>
        <v>46124</v>
      </c>
      <c r="C21" s="10"/>
      <c r="D21" s="10"/>
      <c r="E21" s="1"/>
      <c r="F21" s="11">
        <f t="shared" si="3"/>
        <v>0</v>
      </c>
      <c r="G21" s="41" t="str">
        <f t="shared" si="2"/>
        <v>0</v>
      </c>
      <c r="H21" s="1"/>
    </row>
    <row r="22" spans="1:8" x14ac:dyDescent="0.3">
      <c r="A22" s="8">
        <v>46125</v>
      </c>
      <c r="B22" s="9">
        <f t="shared" si="0"/>
        <v>46125</v>
      </c>
      <c r="C22" s="10">
        <v>0.33333333333333331</v>
      </c>
      <c r="D22" s="10">
        <v>0.79166666666666663</v>
      </c>
      <c r="E22" s="1">
        <v>1</v>
      </c>
      <c r="F22" s="11">
        <f>+(D22-C22)*24-E22</f>
        <v>10</v>
      </c>
      <c r="G22" s="41" t="str">
        <f t="shared" si="2"/>
        <v>0</v>
      </c>
      <c r="H22" s="1"/>
    </row>
    <row r="23" spans="1:8" x14ac:dyDescent="0.3">
      <c r="A23" s="8">
        <v>46126</v>
      </c>
      <c r="B23" s="9">
        <f t="shared" si="0"/>
        <v>46126</v>
      </c>
      <c r="C23" s="10">
        <v>0.33333333333333331</v>
      </c>
      <c r="D23" s="10">
        <v>0.79166666666666663</v>
      </c>
      <c r="E23" s="1">
        <v>1</v>
      </c>
      <c r="F23" s="11">
        <f t="shared" ref="F23:F27" si="4">+(D23-C23)*24-E23</f>
        <v>10</v>
      </c>
      <c r="G23" s="41" t="str">
        <f t="shared" si="2"/>
        <v>0</v>
      </c>
      <c r="H23" s="1"/>
    </row>
    <row r="24" spans="1:8" x14ac:dyDescent="0.3">
      <c r="A24" s="8">
        <v>46127</v>
      </c>
      <c r="B24" s="9">
        <f>+A24</f>
        <v>46127</v>
      </c>
      <c r="C24" s="10">
        <v>0.33333333333333331</v>
      </c>
      <c r="D24" s="10">
        <v>0.79166666666666663</v>
      </c>
      <c r="E24" s="1">
        <v>1</v>
      </c>
      <c r="F24" s="11">
        <f t="shared" si="4"/>
        <v>10</v>
      </c>
      <c r="G24" s="41" t="str">
        <f t="shared" si="2"/>
        <v>0</v>
      </c>
      <c r="H24" s="1"/>
    </row>
    <row r="25" spans="1:8" x14ac:dyDescent="0.3">
      <c r="A25" s="8">
        <v>46128</v>
      </c>
      <c r="B25" s="9">
        <f t="shared" si="0"/>
        <v>46128</v>
      </c>
      <c r="C25" s="10">
        <v>0.33333333333333331</v>
      </c>
      <c r="D25" s="10">
        <v>0.79166666666666663</v>
      </c>
      <c r="E25" s="1">
        <v>1</v>
      </c>
      <c r="F25" s="11">
        <f t="shared" si="4"/>
        <v>10</v>
      </c>
      <c r="G25" s="41" t="str">
        <f t="shared" si="2"/>
        <v>0</v>
      </c>
      <c r="H25" s="1"/>
    </row>
    <row r="26" spans="1:8" x14ac:dyDescent="0.3">
      <c r="A26" s="8">
        <v>46129</v>
      </c>
      <c r="B26" s="9">
        <f t="shared" si="0"/>
        <v>46129</v>
      </c>
      <c r="C26" s="10">
        <v>0.33333333333333331</v>
      </c>
      <c r="D26" s="10">
        <v>0.79166666666666663</v>
      </c>
      <c r="E26" s="1">
        <v>1</v>
      </c>
      <c r="F26" s="11">
        <f t="shared" si="4"/>
        <v>10</v>
      </c>
      <c r="G26" s="41" t="str">
        <f t="shared" si="2"/>
        <v>0</v>
      </c>
      <c r="H26" s="1"/>
    </row>
    <row r="27" spans="1:8" x14ac:dyDescent="0.3">
      <c r="A27" s="8">
        <v>46130</v>
      </c>
      <c r="B27" s="9">
        <f t="shared" si="0"/>
        <v>46130</v>
      </c>
      <c r="C27" s="10"/>
      <c r="D27" s="10"/>
      <c r="E27" s="1"/>
      <c r="F27" s="11">
        <f t="shared" si="4"/>
        <v>0</v>
      </c>
      <c r="G27" s="41" t="str">
        <f t="shared" si="2"/>
        <v>0</v>
      </c>
      <c r="H27" s="1"/>
    </row>
    <row r="28" spans="1:8" x14ac:dyDescent="0.3">
      <c r="A28" s="8">
        <v>46131</v>
      </c>
      <c r="B28" s="9">
        <f t="shared" si="0"/>
        <v>46131</v>
      </c>
      <c r="C28" s="10"/>
      <c r="D28" s="10"/>
      <c r="E28" s="1"/>
      <c r="F28" s="11">
        <f>+(D28-C28)*24-E28</f>
        <v>0</v>
      </c>
      <c r="G28" s="41" t="str">
        <f t="shared" si="2"/>
        <v>0</v>
      </c>
      <c r="H28" s="1"/>
    </row>
    <row r="29" spans="1:8" x14ac:dyDescent="0.3">
      <c r="A29" s="8">
        <v>46132</v>
      </c>
      <c r="B29" s="9">
        <f t="shared" si="0"/>
        <v>46132</v>
      </c>
      <c r="C29" s="10">
        <v>0.33333333333333331</v>
      </c>
      <c r="D29" s="10">
        <v>0.79166666666666663</v>
      </c>
      <c r="E29" s="1">
        <v>1</v>
      </c>
      <c r="F29" s="11">
        <f t="shared" ref="F29:F33" si="5">+(D29-C29)*24-E29</f>
        <v>10</v>
      </c>
      <c r="G29" s="41" t="str">
        <f t="shared" si="2"/>
        <v>0</v>
      </c>
      <c r="H29" s="1"/>
    </row>
    <row r="30" spans="1:8" x14ac:dyDescent="0.3">
      <c r="A30" s="8">
        <v>46133</v>
      </c>
      <c r="B30" s="9">
        <f t="shared" si="0"/>
        <v>46133</v>
      </c>
      <c r="C30" s="10">
        <v>0.33333333333333331</v>
      </c>
      <c r="D30" s="10">
        <v>0.79166666666666663</v>
      </c>
      <c r="E30" s="1">
        <v>1</v>
      </c>
      <c r="F30" s="11">
        <f t="shared" si="5"/>
        <v>10</v>
      </c>
      <c r="G30" s="41" t="str">
        <f t="shared" si="2"/>
        <v>0</v>
      </c>
      <c r="H30" s="1"/>
    </row>
    <row r="31" spans="1:8" x14ac:dyDescent="0.3">
      <c r="A31" s="8">
        <v>46134</v>
      </c>
      <c r="B31" s="9">
        <f t="shared" si="0"/>
        <v>46134</v>
      </c>
      <c r="C31" s="10">
        <v>0.33333333333333331</v>
      </c>
      <c r="D31" s="10">
        <v>0.79166666666666663</v>
      </c>
      <c r="E31" s="1">
        <v>1</v>
      </c>
      <c r="F31" s="11">
        <f t="shared" si="5"/>
        <v>10</v>
      </c>
      <c r="G31" s="41" t="str">
        <f t="shared" si="2"/>
        <v>0</v>
      </c>
      <c r="H31" s="1"/>
    </row>
    <row r="32" spans="1:8" x14ac:dyDescent="0.3">
      <c r="A32" s="8">
        <v>46135</v>
      </c>
      <c r="B32" s="9">
        <f t="shared" si="0"/>
        <v>46135</v>
      </c>
      <c r="C32" s="10">
        <v>0.33333333333333331</v>
      </c>
      <c r="D32" s="10">
        <v>0.79166666666666663</v>
      </c>
      <c r="E32" s="1">
        <v>1</v>
      </c>
      <c r="F32" s="11">
        <f t="shared" si="5"/>
        <v>10</v>
      </c>
      <c r="G32" s="41" t="str">
        <f t="shared" si="2"/>
        <v>0</v>
      </c>
      <c r="H32" s="1"/>
    </row>
    <row r="33" spans="1:8" x14ac:dyDescent="0.3">
      <c r="A33" s="8">
        <v>46136</v>
      </c>
      <c r="B33" s="9">
        <f t="shared" si="0"/>
        <v>46136</v>
      </c>
      <c r="C33" s="10">
        <v>0.33333333333333331</v>
      </c>
      <c r="D33" s="10">
        <v>0.79166666666666663</v>
      </c>
      <c r="E33" s="1">
        <v>1</v>
      </c>
      <c r="F33" s="11">
        <f t="shared" si="5"/>
        <v>10</v>
      </c>
      <c r="G33" s="41" t="str">
        <f t="shared" si="2"/>
        <v>0</v>
      </c>
      <c r="H33" s="1"/>
    </row>
    <row r="34" spans="1:8" x14ac:dyDescent="0.3">
      <c r="A34" s="8">
        <v>46137</v>
      </c>
      <c r="B34" s="9">
        <f t="shared" si="0"/>
        <v>46137</v>
      </c>
      <c r="C34" s="10"/>
      <c r="D34" s="10"/>
      <c r="E34" s="1"/>
      <c r="F34" s="11">
        <f>+(D34-C34)*24-E34</f>
        <v>0</v>
      </c>
      <c r="G34" s="41" t="str">
        <f t="shared" si="2"/>
        <v>0</v>
      </c>
      <c r="H34" s="1"/>
    </row>
    <row r="35" spans="1:8" x14ac:dyDescent="0.3">
      <c r="A35" s="8">
        <v>46138</v>
      </c>
      <c r="B35" s="9">
        <f t="shared" si="0"/>
        <v>46138</v>
      </c>
      <c r="C35" s="10"/>
      <c r="D35" s="10"/>
      <c r="E35" s="1"/>
      <c r="F35" s="11">
        <f t="shared" ref="F35:F39" si="6">+(D35-C35)*24-E35</f>
        <v>0</v>
      </c>
      <c r="G35" s="41" t="str">
        <f t="shared" si="2"/>
        <v>0</v>
      </c>
      <c r="H35" s="1"/>
    </row>
    <row r="36" spans="1:8" x14ac:dyDescent="0.3">
      <c r="A36" s="8">
        <v>46139</v>
      </c>
      <c r="B36" s="9">
        <f t="shared" si="0"/>
        <v>46139</v>
      </c>
      <c r="C36" s="10">
        <v>0.33333333333333331</v>
      </c>
      <c r="D36" s="10">
        <v>0.79166666666666663</v>
      </c>
      <c r="E36" s="1">
        <v>1</v>
      </c>
      <c r="F36" s="11">
        <f t="shared" si="6"/>
        <v>10</v>
      </c>
      <c r="G36" s="41" t="str">
        <f t="shared" si="2"/>
        <v>0</v>
      </c>
      <c r="H36" s="1"/>
    </row>
    <row r="37" spans="1:8" x14ac:dyDescent="0.3">
      <c r="A37" s="8">
        <v>46140</v>
      </c>
      <c r="B37" s="9">
        <f>+A37</f>
        <v>46140</v>
      </c>
      <c r="C37" s="10">
        <v>0.33333333333333331</v>
      </c>
      <c r="D37" s="10">
        <v>0.79166666666666663</v>
      </c>
      <c r="E37" s="1">
        <v>1</v>
      </c>
      <c r="F37" s="11">
        <f t="shared" si="6"/>
        <v>10</v>
      </c>
      <c r="G37" s="41" t="str">
        <f t="shared" si="2"/>
        <v>0</v>
      </c>
      <c r="H37" s="1"/>
    </row>
    <row r="38" spans="1:8" x14ac:dyDescent="0.3">
      <c r="A38" s="8">
        <v>46141</v>
      </c>
      <c r="B38" s="9">
        <f t="shared" si="0"/>
        <v>46141</v>
      </c>
      <c r="C38" s="10">
        <v>0.33333333333333331</v>
      </c>
      <c r="D38" s="10">
        <v>0.79166666666666663</v>
      </c>
      <c r="E38" s="1">
        <v>1</v>
      </c>
      <c r="F38" s="11">
        <f t="shared" si="6"/>
        <v>10</v>
      </c>
      <c r="G38" s="41" t="str">
        <f t="shared" si="2"/>
        <v>0</v>
      </c>
      <c r="H38" s="1"/>
    </row>
    <row r="39" spans="1:8" x14ac:dyDescent="0.3">
      <c r="A39" s="8">
        <v>46142</v>
      </c>
      <c r="B39" s="9">
        <f t="shared" si="0"/>
        <v>46142</v>
      </c>
      <c r="C39" s="10">
        <v>0.33333333333333331</v>
      </c>
      <c r="D39" s="10">
        <v>0.79166666666666663</v>
      </c>
      <c r="E39" s="1">
        <v>1</v>
      </c>
      <c r="F39" s="11">
        <f t="shared" si="6"/>
        <v>10</v>
      </c>
      <c r="G39" s="41" t="str">
        <f t="shared" si="2"/>
        <v>0</v>
      </c>
      <c r="H39" s="1"/>
    </row>
    <row r="40" spans="1:8" x14ac:dyDescent="0.3">
      <c r="A40" s="8"/>
      <c r="B40" s="9"/>
      <c r="C40" s="10"/>
      <c r="D40" s="10"/>
      <c r="E40" s="1"/>
      <c r="F40" s="11"/>
      <c r="G40" s="1"/>
      <c r="H40" s="1"/>
    </row>
    <row r="41" spans="1:8" x14ac:dyDescent="0.3">
      <c r="A41" s="159" t="s">
        <v>44</v>
      </c>
      <c r="B41" s="160"/>
      <c r="C41" s="158">
        <f>+COUNT(C10:C39)</f>
        <v>22</v>
      </c>
      <c r="D41" s="158"/>
      <c r="E41" s="158"/>
      <c r="F41" s="158"/>
      <c r="G41" s="158"/>
      <c r="H41" s="1"/>
    </row>
    <row r="42" spans="1:8" x14ac:dyDescent="0.3">
      <c r="A42" s="161" t="s">
        <v>49</v>
      </c>
      <c r="B42" s="162"/>
      <c r="C42" s="158">
        <f>SUM(F10:F39)</f>
        <v>220</v>
      </c>
      <c r="D42" s="158"/>
      <c r="E42" s="158"/>
      <c r="F42" s="158"/>
      <c r="G42" s="158"/>
      <c r="H42" s="1"/>
    </row>
    <row r="43" spans="1:8" x14ac:dyDescent="0.3">
      <c r="A43" s="161" t="s">
        <v>45</v>
      </c>
      <c r="B43" s="162"/>
      <c r="C43" s="158">
        <f>SUM(G10:G39)</f>
        <v>0</v>
      </c>
      <c r="D43" s="158"/>
      <c r="E43" s="158"/>
      <c r="F43" s="158"/>
      <c r="G43" s="158"/>
      <c r="H43" s="1"/>
    </row>
  </sheetData>
  <mergeCells count="7">
    <mergeCell ref="A2:H2"/>
    <mergeCell ref="C41:G41"/>
    <mergeCell ref="C42:G42"/>
    <mergeCell ref="C43:G43"/>
    <mergeCell ref="A41:B41"/>
    <mergeCell ref="A42:B42"/>
    <mergeCell ref="A43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PLANILLA</vt:lpstr>
      <vt:lpstr>PL1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Jaime Martinez</cp:lastModifiedBy>
  <cp:lastPrinted>2026-04-21T00:32:37Z</cp:lastPrinted>
  <dcterms:created xsi:type="dcterms:W3CDTF">2020-07-17T01:03:29Z</dcterms:created>
  <dcterms:modified xsi:type="dcterms:W3CDTF">2026-04-21T00:40:57Z</dcterms:modified>
</cp:coreProperties>
</file>