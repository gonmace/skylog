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\home\gonzalo\Django\skylog\templates\"/>
    </mc:Choice>
  </mc:AlternateContent>
  <xr:revisionPtr revIDLastSave="0" documentId="13_ncr:1_{FAFB14CB-E68E-492F-B828-20021F5B4E00}" xr6:coauthVersionLast="47" xr6:coauthVersionMax="47" xr10:uidLastSave="{00000000-0000-0000-0000-000000000000}"/>
  <bookViews>
    <workbookView xWindow="11844" yWindow="2712" windowWidth="28668" windowHeight="12120" xr2:uid="{00000000-000D-0000-FFFF-FFFF00000000}"/>
  </bookViews>
  <sheets>
    <sheet name="PL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</sheets>
  <calcPr calcId="191029"/>
</workbook>
</file>

<file path=xl/calcChain.xml><?xml version="1.0" encoding="utf-8"?>
<calcChain xmlns="http://schemas.openxmlformats.org/spreadsheetml/2006/main">
  <c r="C40" i="13" l="1"/>
  <c r="G39" i="13"/>
  <c r="F39" i="13"/>
  <c r="B39" i="13"/>
  <c r="G38" i="13"/>
  <c r="F38" i="13"/>
  <c r="B38" i="13"/>
  <c r="G37" i="13"/>
  <c r="F37" i="13"/>
  <c r="B37" i="13"/>
  <c r="G36" i="13"/>
  <c r="F36" i="13"/>
  <c r="B36" i="13"/>
  <c r="G35" i="13"/>
  <c r="F35" i="13"/>
  <c r="B35" i="13"/>
  <c r="G34" i="13"/>
  <c r="F34" i="13"/>
  <c r="B34" i="13"/>
  <c r="G33" i="13"/>
  <c r="F33" i="13"/>
  <c r="B33" i="13"/>
  <c r="G32" i="13"/>
  <c r="F32" i="13"/>
  <c r="B32" i="13"/>
  <c r="G31" i="13"/>
  <c r="F31" i="13"/>
  <c r="B31" i="13"/>
  <c r="G30" i="13"/>
  <c r="F30" i="13"/>
  <c r="B30" i="13"/>
  <c r="G29" i="13"/>
  <c r="F29" i="13"/>
  <c r="B29" i="13"/>
  <c r="G28" i="13"/>
  <c r="F28" i="13"/>
  <c r="B28" i="13"/>
  <c r="G27" i="13"/>
  <c r="F27" i="13"/>
  <c r="B27" i="13"/>
  <c r="G26" i="13"/>
  <c r="F26" i="13"/>
  <c r="B26" i="13"/>
  <c r="G25" i="13"/>
  <c r="F25" i="13"/>
  <c r="B25" i="13"/>
  <c r="G24" i="13"/>
  <c r="F24" i="13"/>
  <c r="B24" i="13"/>
  <c r="G23" i="13"/>
  <c r="F23" i="13"/>
  <c r="B23" i="13"/>
  <c r="G22" i="13"/>
  <c r="F22" i="13"/>
  <c r="B22" i="13"/>
  <c r="G21" i="13"/>
  <c r="F21" i="13"/>
  <c r="B21" i="13"/>
  <c r="G20" i="13"/>
  <c r="F20" i="13"/>
  <c r="B20" i="13"/>
  <c r="G19" i="13"/>
  <c r="F19" i="13"/>
  <c r="B19" i="13"/>
  <c r="G18" i="13"/>
  <c r="F18" i="13"/>
  <c r="B18" i="13"/>
  <c r="G17" i="13"/>
  <c r="F17" i="13"/>
  <c r="B17" i="13"/>
  <c r="G16" i="13"/>
  <c r="F16" i="13"/>
  <c r="L25" i="1" s="1"/>
  <c r="B16" i="13"/>
  <c r="G15" i="13"/>
  <c r="F15" i="13"/>
  <c r="K66" i="1" s="1"/>
  <c r="B15" i="13"/>
  <c r="G14" i="13"/>
  <c r="F14" i="13"/>
  <c r="B14" i="13"/>
  <c r="G13" i="13"/>
  <c r="F13" i="13"/>
  <c r="I66" i="1" s="1"/>
  <c r="B13" i="13"/>
  <c r="G12" i="13"/>
  <c r="F12" i="13"/>
  <c r="B12" i="13"/>
  <c r="G11" i="13"/>
  <c r="F11" i="13"/>
  <c r="B11" i="13"/>
  <c r="G10" i="13"/>
  <c r="F10" i="13"/>
  <c r="F25" i="1" s="1"/>
  <c r="B10" i="13"/>
  <c r="C40" i="12"/>
  <c r="G39" i="12"/>
  <c r="F39" i="12"/>
  <c r="B39" i="12"/>
  <c r="G38" i="12"/>
  <c r="F38" i="12"/>
  <c r="B38" i="12"/>
  <c r="G37" i="12"/>
  <c r="F37" i="12"/>
  <c r="B37" i="12"/>
  <c r="G36" i="12"/>
  <c r="F36" i="12"/>
  <c r="AF54" i="1" s="1"/>
  <c r="B36" i="12"/>
  <c r="G35" i="12"/>
  <c r="F35" i="12"/>
  <c r="B35" i="12"/>
  <c r="G34" i="12"/>
  <c r="F34" i="12"/>
  <c r="B34" i="12"/>
  <c r="G33" i="12"/>
  <c r="F33" i="12"/>
  <c r="B33" i="12"/>
  <c r="G32" i="12"/>
  <c r="F32" i="12"/>
  <c r="B32" i="12"/>
  <c r="G31" i="12"/>
  <c r="F31" i="12"/>
  <c r="B31" i="12"/>
  <c r="G30" i="12"/>
  <c r="F30" i="12"/>
  <c r="B30" i="12"/>
  <c r="G29" i="12"/>
  <c r="F29" i="12"/>
  <c r="B29" i="12"/>
  <c r="G28" i="12"/>
  <c r="F28" i="12"/>
  <c r="B28" i="12"/>
  <c r="G27" i="12"/>
  <c r="F27" i="12"/>
  <c r="B27" i="12"/>
  <c r="G26" i="12"/>
  <c r="F26" i="12"/>
  <c r="B26" i="12"/>
  <c r="G25" i="12"/>
  <c r="F25" i="12"/>
  <c r="B25" i="12"/>
  <c r="G24" i="12"/>
  <c r="F24" i="12"/>
  <c r="T54" i="1" s="1"/>
  <c r="B24" i="12"/>
  <c r="G23" i="12"/>
  <c r="F23" i="12"/>
  <c r="S24" i="1" s="1"/>
  <c r="B23" i="12"/>
  <c r="G22" i="12"/>
  <c r="F22" i="12"/>
  <c r="B22" i="12"/>
  <c r="G21" i="12"/>
  <c r="F21" i="12"/>
  <c r="B21" i="12"/>
  <c r="G20" i="12"/>
  <c r="F20" i="12"/>
  <c r="B20" i="12"/>
  <c r="G19" i="12"/>
  <c r="F19" i="12"/>
  <c r="O24" i="1" s="1"/>
  <c r="B19" i="12"/>
  <c r="G18" i="12"/>
  <c r="F18" i="12"/>
  <c r="B18" i="12"/>
  <c r="G17" i="12"/>
  <c r="F17" i="12"/>
  <c r="B17" i="12"/>
  <c r="G16" i="12"/>
  <c r="F16" i="12"/>
  <c r="B16" i="12"/>
  <c r="G15" i="12"/>
  <c r="F15" i="12"/>
  <c r="K24" i="1" s="1"/>
  <c r="B15" i="12"/>
  <c r="G14" i="12"/>
  <c r="F14" i="12"/>
  <c r="B14" i="12"/>
  <c r="G13" i="12"/>
  <c r="F13" i="12"/>
  <c r="B13" i="12"/>
  <c r="G12" i="12"/>
  <c r="F12" i="12"/>
  <c r="H54" i="1" s="1"/>
  <c r="B12" i="12"/>
  <c r="G11" i="12"/>
  <c r="F11" i="12"/>
  <c r="B11" i="12"/>
  <c r="G10" i="12"/>
  <c r="F10" i="12"/>
  <c r="B10" i="12"/>
  <c r="C40" i="11"/>
  <c r="G39" i="11"/>
  <c r="F39" i="11"/>
  <c r="B39" i="11"/>
  <c r="G38" i="11"/>
  <c r="F38" i="11"/>
  <c r="B38" i="11"/>
  <c r="G37" i="11"/>
  <c r="F37" i="11"/>
  <c r="B37" i="11"/>
  <c r="G36" i="11"/>
  <c r="F36" i="11"/>
  <c r="B36" i="11"/>
  <c r="G35" i="11"/>
  <c r="F35" i="11"/>
  <c r="B35" i="11"/>
  <c r="G34" i="11"/>
  <c r="F34" i="11"/>
  <c r="B34" i="11"/>
  <c r="G33" i="11"/>
  <c r="F33" i="11"/>
  <c r="B33" i="11"/>
  <c r="G32" i="11"/>
  <c r="F32" i="11"/>
  <c r="B32" i="11"/>
  <c r="G31" i="11"/>
  <c r="F31" i="11"/>
  <c r="AA45" i="1" s="1"/>
  <c r="B31" i="11"/>
  <c r="G30" i="11"/>
  <c r="F30" i="11"/>
  <c r="B30" i="11"/>
  <c r="G29" i="11"/>
  <c r="F29" i="11"/>
  <c r="B29" i="11"/>
  <c r="G28" i="11"/>
  <c r="F28" i="11"/>
  <c r="B28" i="11"/>
  <c r="G27" i="11"/>
  <c r="F27" i="11"/>
  <c r="B27" i="11"/>
  <c r="G26" i="11"/>
  <c r="F26" i="11"/>
  <c r="B26" i="11"/>
  <c r="G25" i="11"/>
  <c r="F25" i="11"/>
  <c r="B25" i="11"/>
  <c r="G24" i="11"/>
  <c r="F24" i="11"/>
  <c r="B24" i="11"/>
  <c r="G23" i="11"/>
  <c r="F23" i="11"/>
  <c r="B23" i="11"/>
  <c r="G22" i="11"/>
  <c r="F22" i="11"/>
  <c r="B22" i="11"/>
  <c r="G21" i="11"/>
  <c r="F21" i="11"/>
  <c r="B21" i="11"/>
  <c r="G20" i="11"/>
  <c r="F20" i="11"/>
  <c r="B20" i="11"/>
  <c r="G19" i="11"/>
  <c r="F19" i="11"/>
  <c r="O45" i="1" s="1"/>
  <c r="B19" i="11"/>
  <c r="G18" i="11"/>
  <c r="F18" i="11"/>
  <c r="B18" i="11"/>
  <c r="G17" i="11"/>
  <c r="F17" i="11"/>
  <c r="M45" i="1" s="1"/>
  <c r="B17" i="11"/>
  <c r="G16" i="11"/>
  <c r="F16" i="11"/>
  <c r="B16" i="11"/>
  <c r="G15" i="11"/>
  <c r="F15" i="11"/>
  <c r="B15" i="11"/>
  <c r="G14" i="11"/>
  <c r="F14" i="11"/>
  <c r="B14" i="11"/>
  <c r="G13" i="11"/>
  <c r="F13" i="11"/>
  <c r="B13" i="11"/>
  <c r="G12" i="11"/>
  <c r="F12" i="11"/>
  <c r="B12" i="11"/>
  <c r="G11" i="11"/>
  <c r="F11" i="11"/>
  <c r="G45" i="1" s="1"/>
  <c r="B11" i="11"/>
  <c r="G10" i="11"/>
  <c r="F10" i="11"/>
  <c r="B10" i="11"/>
  <c r="C40" i="10"/>
  <c r="G39" i="10"/>
  <c r="F39" i="10"/>
  <c r="B39" i="10"/>
  <c r="G38" i="10"/>
  <c r="F38" i="10"/>
  <c r="AH65" i="1" s="1"/>
  <c r="B38" i="10"/>
  <c r="G37" i="10"/>
  <c r="F37" i="10"/>
  <c r="B37" i="10"/>
  <c r="G36" i="10"/>
  <c r="F36" i="10"/>
  <c r="AF65" i="1" s="1"/>
  <c r="B36" i="10"/>
  <c r="G35" i="10"/>
  <c r="F35" i="10"/>
  <c r="B35" i="10"/>
  <c r="G34" i="10"/>
  <c r="F34" i="10"/>
  <c r="AD65" i="1" s="1"/>
  <c r="B34" i="10"/>
  <c r="G33" i="10"/>
  <c r="F33" i="10"/>
  <c r="B33" i="10"/>
  <c r="G32" i="10"/>
  <c r="F32" i="10"/>
  <c r="B32" i="10"/>
  <c r="G31" i="10"/>
  <c r="F31" i="10"/>
  <c r="AA65" i="1" s="1"/>
  <c r="B31" i="10"/>
  <c r="G30" i="10"/>
  <c r="F30" i="10"/>
  <c r="Z65" i="1" s="1"/>
  <c r="B30" i="10"/>
  <c r="G29" i="10"/>
  <c r="F29" i="10"/>
  <c r="B29" i="10"/>
  <c r="G28" i="10"/>
  <c r="F28" i="10"/>
  <c r="B28" i="10"/>
  <c r="G27" i="10"/>
  <c r="F27" i="10"/>
  <c r="B27" i="10"/>
  <c r="G26" i="10"/>
  <c r="F26" i="10"/>
  <c r="V65" i="1" s="1"/>
  <c r="B26" i="10"/>
  <c r="G25" i="10"/>
  <c r="F25" i="10"/>
  <c r="B25" i="10"/>
  <c r="G24" i="10"/>
  <c r="F24" i="10"/>
  <c r="B24" i="10"/>
  <c r="G23" i="10"/>
  <c r="F23" i="10"/>
  <c r="B23" i="10"/>
  <c r="G22" i="10"/>
  <c r="F22" i="10"/>
  <c r="R65" i="1" s="1"/>
  <c r="B22" i="10"/>
  <c r="G21" i="10"/>
  <c r="F21" i="10"/>
  <c r="B21" i="10"/>
  <c r="G20" i="10"/>
  <c r="F20" i="10"/>
  <c r="B20" i="10"/>
  <c r="G19" i="10"/>
  <c r="F19" i="10"/>
  <c r="O65" i="1" s="1"/>
  <c r="B19" i="10"/>
  <c r="G18" i="10"/>
  <c r="F18" i="10"/>
  <c r="N65" i="1" s="1"/>
  <c r="B18" i="10"/>
  <c r="G17" i="10"/>
  <c r="F17" i="10"/>
  <c r="B17" i="10"/>
  <c r="G16" i="10"/>
  <c r="F16" i="10"/>
  <c r="B16" i="10"/>
  <c r="G15" i="10"/>
  <c r="F15" i="10"/>
  <c r="B15" i="10"/>
  <c r="G14" i="10"/>
  <c r="F14" i="10"/>
  <c r="J65" i="1" s="1"/>
  <c r="B14" i="10"/>
  <c r="G13" i="10"/>
  <c r="F13" i="10"/>
  <c r="B13" i="10"/>
  <c r="G12" i="10"/>
  <c r="F12" i="10"/>
  <c r="B12" i="10"/>
  <c r="G11" i="10"/>
  <c r="F11" i="10"/>
  <c r="G65" i="1" s="1"/>
  <c r="B11" i="10"/>
  <c r="G10" i="10"/>
  <c r="F10" i="10"/>
  <c r="B10" i="10"/>
  <c r="C40" i="9"/>
  <c r="G39" i="9"/>
  <c r="F39" i="9"/>
  <c r="AI64" i="1" s="1"/>
  <c r="B39" i="9"/>
  <c r="G38" i="9"/>
  <c r="F38" i="9"/>
  <c r="AH64" i="1" s="1"/>
  <c r="B38" i="9"/>
  <c r="G37" i="9"/>
  <c r="F37" i="9"/>
  <c r="B37" i="9"/>
  <c r="G36" i="9"/>
  <c r="F36" i="9"/>
  <c r="B36" i="9"/>
  <c r="G35" i="9"/>
  <c r="F35" i="9"/>
  <c r="B35" i="9"/>
  <c r="G34" i="9"/>
  <c r="F34" i="9"/>
  <c r="B34" i="9"/>
  <c r="G33" i="9"/>
  <c r="F33" i="9"/>
  <c r="AC64" i="1" s="1"/>
  <c r="B33" i="9"/>
  <c r="G32" i="9"/>
  <c r="F32" i="9"/>
  <c r="B32" i="9"/>
  <c r="G31" i="9"/>
  <c r="F31" i="9"/>
  <c r="B31" i="9"/>
  <c r="G30" i="9"/>
  <c r="F30" i="9"/>
  <c r="Z64" i="1" s="1"/>
  <c r="B30" i="9"/>
  <c r="G29" i="9"/>
  <c r="F29" i="9"/>
  <c r="B29" i="9"/>
  <c r="G28" i="9"/>
  <c r="F28" i="9"/>
  <c r="B28" i="9"/>
  <c r="G27" i="9"/>
  <c r="F27" i="9"/>
  <c r="W64" i="1" s="1"/>
  <c r="B27" i="9"/>
  <c r="G26" i="9"/>
  <c r="F26" i="9"/>
  <c r="V64" i="1" s="1"/>
  <c r="B26" i="9"/>
  <c r="G25" i="9"/>
  <c r="F25" i="9"/>
  <c r="B25" i="9"/>
  <c r="G24" i="9"/>
  <c r="F24" i="9"/>
  <c r="B24" i="9"/>
  <c r="G23" i="9"/>
  <c r="F23" i="9"/>
  <c r="B23" i="9"/>
  <c r="G22" i="9"/>
  <c r="F22" i="9"/>
  <c r="B22" i="9"/>
  <c r="G21" i="9"/>
  <c r="F21" i="9"/>
  <c r="Q64" i="1" s="1"/>
  <c r="B21" i="9"/>
  <c r="G20" i="9"/>
  <c r="F20" i="9"/>
  <c r="B20" i="9"/>
  <c r="G19" i="9"/>
  <c r="F19" i="9"/>
  <c r="B19" i="9"/>
  <c r="G18" i="9"/>
  <c r="F18" i="9"/>
  <c r="N64" i="1" s="1"/>
  <c r="B18" i="9"/>
  <c r="G17" i="9"/>
  <c r="F17" i="9"/>
  <c r="B17" i="9"/>
  <c r="G16" i="9"/>
  <c r="F16" i="9"/>
  <c r="B16" i="9"/>
  <c r="G15" i="9"/>
  <c r="F15" i="9"/>
  <c r="K64" i="1" s="1"/>
  <c r="B15" i="9"/>
  <c r="G14" i="9"/>
  <c r="F14" i="9"/>
  <c r="J64" i="1" s="1"/>
  <c r="B14" i="9"/>
  <c r="G13" i="9"/>
  <c r="F13" i="9"/>
  <c r="B13" i="9"/>
  <c r="G12" i="9"/>
  <c r="F12" i="9"/>
  <c r="B12" i="9"/>
  <c r="G11" i="9"/>
  <c r="F11" i="9"/>
  <c r="B11" i="9"/>
  <c r="G10" i="9"/>
  <c r="F10" i="9"/>
  <c r="C41" i="9" s="1"/>
  <c r="B10" i="9"/>
  <c r="C40" i="8"/>
  <c r="G39" i="8"/>
  <c r="F39" i="8"/>
  <c r="B39" i="8"/>
  <c r="G38" i="8"/>
  <c r="F38" i="8"/>
  <c r="B38" i="8"/>
  <c r="G37" i="8"/>
  <c r="F37" i="8"/>
  <c r="B37" i="8"/>
  <c r="G36" i="8"/>
  <c r="F36" i="8"/>
  <c r="B36" i="8"/>
  <c r="G35" i="8"/>
  <c r="F35" i="8"/>
  <c r="B35" i="8"/>
  <c r="G34" i="8"/>
  <c r="F34" i="8"/>
  <c r="B34" i="8"/>
  <c r="G33" i="8"/>
  <c r="F33" i="8"/>
  <c r="B33" i="8"/>
  <c r="G32" i="8"/>
  <c r="F32" i="8"/>
  <c r="B32" i="8"/>
  <c r="G31" i="8"/>
  <c r="F31" i="8"/>
  <c r="B31" i="8"/>
  <c r="G30" i="8"/>
  <c r="F30" i="8"/>
  <c r="B30" i="8"/>
  <c r="G29" i="8"/>
  <c r="F29" i="8"/>
  <c r="Y44" i="1" s="1"/>
  <c r="B29" i="8"/>
  <c r="G28" i="8"/>
  <c r="F28" i="8"/>
  <c r="B28" i="8"/>
  <c r="G27" i="8"/>
  <c r="F27" i="8"/>
  <c r="B27" i="8"/>
  <c r="G26" i="8"/>
  <c r="F26" i="8"/>
  <c r="B26" i="8"/>
  <c r="G25" i="8"/>
  <c r="F25" i="8"/>
  <c r="B25" i="8"/>
  <c r="G24" i="8"/>
  <c r="F24" i="8"/>
  <c r="B24" i="8"/>
  <c r="G23" i="8"/>
  <c r="F23" i="8"/>
  <c r="B23" i="8"/>
  <c r="G22" i="8"/>
  <c r="F22" i="8"/>
  <c r="B22" i="8"/>
  <c r="G21" i="8"/>
  <c r="F21" i="8"/>
  <c r="B21" i="8"/>
  <c r="G20" i="8"/>
  <c r="F20" i="8"/>
  <c r="B20" i="8"/>
  <c r="G19" i="8"/>
  <c r="F19" i="8"/>
  <c r="B19" i="8"/>
  <c r="G18" i="8"/>
  <c r="F18" i="8"/>
  <c r="N20" i="1" s="1"/>
  <c r="B18" i="8"/>
  <c r="G17" i="8"/>
  <c r="F17" i="8"/>
  <c r="B17" i="8"/>
  <c r="G16" i="8"/>
  <c r="F16" i="8"/>
  <c r="L20" i="1" s="1"/>
  <c r="B16" i="8"/>
  <c r="G15" i="8"/>
  <c r="F15" i="8"/>
  <c r="B15" i="8"/>
  <c r="G14" i="8"/>
  <c r="F14" i="8"/>
  <c r="B14" i="8"/>
  <c r="G13" i="8"/>
  <c r="F13" i="8"/>
  <c r="B13" i="8"/>
  <c r="G12" i="8"/>
  <c r="F12" i="8"/>
  <c r="B12" i="8"/>
  <c r="G11" i="8"/>
  <c r="F11" i="8"/>
  <c r="B11" i="8"/>
  <c r="G10" i="8"/>
  <c r="F10" i="8"/>
  <c r="B10" i="8"/>
  <c r="C40" i="7"/>
  <c r="G39" i="7"/>
  <c r="F39" i="7"/>
  <c r="B39" i="7"/>
  <c r="G38" i="7"/>
  <c r="F38" i="7"/>
  <c r="B38" i="7"/>
  <c r="G37" i="7"/>
  <c r="F37" i="7"/>
  <c r="B37" i="7"/>
  <c r="G36" i="7"/>
  <c r="F36" i="7"/>
  <c r="AF53" i="1" s="1"/>
  <c r="B36" i="7"/>
  <c r="G35" i="7"/>
  <c r="F35" i="7"/>
  <c r="B35" i="7"/>
  <c r="G34" i="7"/>
  <c r="F34" i="7"/>
  <c r="B34" i="7"/>
  <c r="G33" i="7"/>
  <c r="F33" i="7"/>
  <c r="B33" i="7"/>
  <c r="G32" i="7"/>
  <c r="F32" i="7"/>
  <c r="B32" i="7"/>
  <c r="G31" i="7"/>
  <c r="F31" i="7"/>
  <c r="AA53" i="1" s="1"/>
  <c r="B31" i="7"/>
  <c r="G30" i="7"/>
  <c r="F30" i="7"/>
  <c r="B30" i="7"/>
  <c r="G29" i="7"/>
  <c r="F29" i="7"/>
  <c r="B29" i="7"/>
  <c r="G28" i="7"/>
  <c r="F28" i="7"/>
  <c r="B28" i="7"/>
  <c r="G27" i="7"/>
  <c r="F27" i="7"/>
  <c r="B27" i="7"/>
  <c r="G26" i="7"/>
  <c r="F26" i="7"/>
  <c r="B26" i="7"/>
  <c r="G25" i="7"/>
  <c r="F25" i="7"/>
  <c r="B25" i="7"/>
  <c r="G24" i="7"/>
  <c r="F24" i="7"/>
  <c r="T53" i="1" s="1"/>
  <c r="B24" i="7"/>
  <c r="G23" i="7"/>
  <c r="F23" i="7"/>
  <c r="B23" i="7"/>
  <c r="G22" i="7"/>
  <c r="F22" i="7"/>
  <c r="B22" i="7"/>
  <c r="G21" i="7"/>
  <c r="F21" i="7"/>
  <c r="B21" i="7"/>
  <c r="G20" i="7"/>
  <c r="F20" i="7"/>
  <c r="B20" i="7"/>
  <c r="G19" i="7"/>
  <c r="F19" i="7"/>
  <c r="O53" i="1" s="1"/>
  <c r="B19" i="7"/>
  <c r="G18" i="7"/>
  <c r="F18" i="7"/>
  <c r="B18" i="7"/>
  <c r="G17" i="7"/>
  <c r="F17" i="7"/>
  <c r="B17" i="7"/>
  <c r="G16" i="7"/>
  <c r="F16" i="7"/>
  <c r="L53" i="1" s="1"/>
  <c r="B16" i="7"/>
  <c r="G15" i="7"/>
  <c r="F15" i="7"/>
  <c r="B15" i="7"/>
  <c r="G14" i="7"/>
  <c r="F14" i="7"/>
  <c r="B14" i="7"/>
  <c r="G13" i="7"/>
  <c r="F13" i="7"/>
  <c r="B13" i="7"/>
  <c r="G12" i="7"/>
  <c r="F12" i="7"/>
  <c r="H53" i="1" s="1"/>
  <c r="B12" i="7"/>
  <c r="G11" i="7"/>
  <c r="F11" i="7"/>
  <c r="G53" i="1" s="1"/>
  <c r="B11" i="7"/>
  <c r="G10" i="7"/>
  <c r="F10" i="7"/>
  <c r="F19" i="1" s="1"/>
  <c r="B10" i="7"/>
  <c r="C40" i="6"/>
  <c r="G39" i="6"/>
  <c r="F39" i="6"/>
  <c r="AI63" i="1" s="1"/>
  <c r="B39" i="6"/>
  <c r="G38" i="6"/>
  <c r="F38" i="6"/>
  <c r="B38" i="6"/>
  <c r="G37" i="6"/>
  <c r="F37" i="6"/>
  <c r="B37" i="6"/>
  <c r="G36" i="6"/>
  <c r="F36" i="6"/>
  <c r="AF63" i="1" s="1"/>
  <c r="B36" i="6"/>
  <c r="G35" i="6"/>
  <c r="F35" i="6"/>
  <c r="AE63" i="1" s="1"/>
  <c r="B35" i="6"/>
  <c r="G34" i="6"/>
  <c r="F34" i="6"/>
  <c r="B34" i="6"/>
  <c r="G33" i="6"/>
  <c r="F33" i="6"/>
  <c r="B33" i="6"/>
  <c r="G32" i="6"/>
  <c r="F32" i="6"/>
  <c r="B32" i="6"/>
  <c r="G31" i="6"/>
  <c r="F31" i="6"/>
  <c r="B31" i="6"/>
  <c r="G30" i="6"/>
  <c r="F30" i="6"/>
  <c r="Z63" i="1" s="1"/>
  <c r="B30" i="6"/>
  <c r="G29" i="6"/>
  <c r="F29" i="6"/>
  <c r="B29" i="6"/>
  <c r="G28" i="6"/>
  <c r="F28" i="6"/>
  <c r="B28" i="6"/>
  <c r="G27" i="6"/>
  <c r="F27" i="6"/>
  <c r="W63" i="1" s="1"/>
  <c r="B27" i="6"/>
  <c r="G26" i="6"/>
  <c r="F26" i="6"/>
  <c r="B26" i="6"/>
  <c r="G25" i="6"/>
  <c r="F25" i="6"/>
  <c r="B25" i="6"/>
  <c r="G24" i="6"/>
  <c r="F24" i="6"/>
  <c r="T63" i="1" s="1"/>
  <c r="B24" i="6"/>
  <c r="G23" i="6"/>
  <c r="F23" i="6"/>
  <c r="S63" i="1" s="1"/>
  <c r="B23" i="6"/>
  <c r="G22" i="6"/>
  <c r="F22" i="6"/>
  <c r="B22" i="6"/>
  <c r="G21" i="6"/>
  <c r="F21" i="6"/>
  <c r="B21" i="6"/>
  <c r="G20" i="6"/>
  <c r="F20" i="6"/>
  <c r="B20" i="6"/>
  <c r="G19" i="6"/>
  <c r="F19" i="6"/>
  <c r="B19" i="6"/>
  <c r="G18" i="6"/>
  <c r="F18" i="6"/>
  <c r="N63" i="1" s="1"/>
  <c r="B18" i="6"/>
  <c r="G17" i="6"/>
  <c r="F17" i="6"/>
  <c r="B17" i="6"/>
  <c r="G16" i="6"/>
  <c r="F16" i="6"/>
  <c r="B16" i="6"/>
  <c r="G15" i="6"/>
  <c r="F15" i="6"/>
  <c r="K63" i="1" s="1"/>
  <c r="B15" i="6"/>
  <c r="G14" i="6"/>
  <c r="F14" i="6"/>
  <c r="B14" i="6"/>
  <c r="G13" i="6"/>
  <c r="F13" i="6"/>
  <c r="B13" i="6"/>
  <c r="G12" i="6"/>
  <c r="C42" i="6" s="1"/>
  <c r="F12" i="6"/>
  <c r="H63" i="1" s="1"/>
  <c r="B12" i="6"/>
  <c r="G11" i="6"/>
  <c r="F11" i="6"/>
  <c r="G63" i="1" s="1"/>
  <c r="B11" i="6"/>
  <c r="G10" i="6"/>
  <c r="F10" i="6"/>
  <c r="C41" i="6" s="1"/>
  <c r="B10" i="6"/>
  <c r="C40" i="5"/>
  <c r="G39" i="5"/>
  <c r="F39" i="5"/>
  <c r="B39" i="5"/>
  <c r="G38" i="5"/>
  <c r="F38" i="5"/>
  <c r="B38" i="5"/>
  <c r="G37" i="5"/>
  <c r="F37" i="5"/>
  <c r="B37" i="5"/>
  <c r="G36" i="5"/>
  <c r="F36" i="5"/>
  <c r="B36" i="5"/>
  <c r="G35" i="5"/>
  <c r="F35" i="5"/>
  <c r="B35" i="5"/>
  <c r="G34" i="5"/>
  <c r="F34" i="5"/>
  <c r="B34" i="5"/>
  <c r="G33" i="5"/>
  <c r="F33" i="5"/>
  <c r="AC52" i="1" s="1"/>
  <c r="B33" i="5"/>
  <c r="G32" i="5"/>
  <c r="F32" i="5"/>
  <c r="B32" i="5"/>
  <c r="G31" i="5"/>
  <c r="F31" i="5"/>
  <c r="B31" i="5"/>
  <c r="G30" i="5"/>
  <c r="F30" i="5"/>
  <c r="B30" i="5"/>
  <c r="G29" i="5"/>
  <c r="F29" i="5"/>
  <c r="B29" i="5"/>
  <c r="G28" i="5"/>
  <c r="F28" i="5"/>
  <c r="B28" i="5"/>
  <c r="G27" i="5"/>
  <c r="F27" i="5"/>
  <c r="B27" i="5"/>
  <c r="G26" i="5"/>
  <c r="F26" i="5"/>
  <c r="B26" i="5"/>
  <c r="G25" i="5"/>
  <c r="F25" i="5"/>
  <c r="B25" i="5"/>
  <c r="G24" i="5"/>
  <c r="F24" i="5"/>
  <c r="B24" i="5"/>
  <c r="G23" i="5"/>
  <c r="F23" i="5"/>
  <c r="S52" i="1" s="1"/>
  <c r="B23" i="5"/>
  <c r="G22" i="5"/>
  <c r="F22" i="5"/>
  <c r="B22" i="5"/>
  <c r="G21" i="5"/>
  <c r="F21" i="5"/>
  <c r="Q52" i="1" s="1"/>
  <c r="B21" i="5"/>
  <c r="G20" i="5"/>
  <c r="F20" i="5"/>
  <c r="B20" i="5"/>
  <c r="G19" i="5"/>
  <c r="F19" i="5"/>
  <c r="B19" i="5"/>
  <c r="G18" i="5"/>
  <c r="F18" i="5"/>
  <c r="B18" i="5"/>
  <c r="G17" i="5"/>
  <c r="F17" i="5"/>
  <c r="B17" i="5"/>
  <c r="G16" i="5"/>
  <c r="F16" i="5"/>
  <c r="B16" i="5"/>
  <c r="G15" i="5"/>
  <c r="F15" i="5"/>
  <c r="B15" i="5"/>
  <c r="G14" i="5"/>
  <c r="F14" i="5"/>
  <c r="B14" i="5"/>
  <c r="G13" i="5"/>
  <c r="F13" i="5"/>
  <c r="B13" i="5"/>
  <c r="G12" i="5"/>
  <c r="F12" i="5"/>
  <c r="B12" i="5"/>
  <c r="G11" i="5"/>
  <c r="F11" i="5"/>
  <c r="B11" i="5"/>
  <c r="G10" i="5"/>
  <c r="F10" i="5"/>
  <c r="B10" i="5"/>
  <c r="C40" i="4"/>
  <c r="G39" i="4"/>
  <c r="F39" i="4"/>
  <c r="B39" i="4"/>
  <c r="G38" i="4"/>
  <c r="F38" i="4"/>
  <c r="B38" i="4"/>
  <c r="G37" i="4"/>
  <c r="F37" i="4"/>
  <c r="B37" i="4"/>
  <c r="G36" i="4"/>
  <c r="F36" i="4"/>
  <c r="B36" i="4"/>
  <c r="G35" i="4"/>
  <c r="F35" i="4"/>
  <c r="B35" i="4"/>
  <c r="G34" i="4"/>
  <c r="F34" i="4"/>
  <c r="B34" i="4"/>
  <c r="G33" i="4"/>
  <c r="F33" i="4"/>
  <c r="B33" i="4"/>
  <c r="G32" i="4"/>
  <c r="F32" i="4"/>
  <c r="B32" i="4"/>
  <c r="G31" i="4"/>
  <c r="F31" i="4"/>
  <c r="B31" i="4"/>
  <c r="G30" i="4"/>
  <c r="F30" i="4"/>
  <c r="B30" i="4"/>
  <c r="G29" i="4"/>
  <c r="F29" i="4"/>
  <c r="Y43" i="1" s="1"/>
  <c r="B29" i="4"/>
  <c r="G28" i="4"/>
  <c r="F28" i="4"/>
  <c r="B28" i="4"/>
  <c r="G27" i="4"/>
  <c r="F27" i="4"/>
  <c r="B27" i="4"/>
  <c r="G26" i="4"/>
  <c r="F26" i="4"/>
  <c r="B26" i="4"/>
  <c r="G25" i="4"/>
  <c r="F25" i="4"/>
  <c r="B25" i="4"/>
  <c r="G24" i="4"/>
  <c r="F24" i="4"/>
  <c r="B24" i="4"/>
  <c r="G23" i="4"/>
  <c r="F23" i="4"/>
  <c r="B23" i="4"/>
  <c r="G22" i="4"/>
  <c r="F22" i="4"/>
  <c r="B22" i="4"/>
  <c r="G21" i="4"/>
  <c r="F21" i="4"/>
  <c r="B21" i="4"/>
  <c r="G20" i="4"/>
  <c r="F20" i="4"/>
  <c r="B20" i="4"/>
  <c r="G19" i="4"/>
  <c r="F19" i="4"/>
  <c r="B19" i="4"/>
  <c r="G18" i="4"/>
  <c r="F18" i="4"/>
  <c r="B18" i="4"/>
  <c r="G17" i="4"/>
  <c r="F17" i="4"/>
  <c r="B17" i="4"/>
  <c r="G16" i="4"/>
  <c r="F16" i="4"/>
  <c r="B16" i="4"/>
  <c r="G15" i="4"/>
  <c r="F15" i="4"/>
  <c r="B15" i="4"/>
  <c r="G14" i="4"/>
  <c r="F14" i="4"/>
  <c r="B14" i="4"/>
  <c r="G13" i="4"/>
  <c r="F13" i="4"/>
  <c r="B13" i="4"/>
  <c r="G12" i="4"/>
  <c r="F12" i="4"/>
  <c r="B12" i="4"/>
  <c r="G11" i="4"/>
  <c r="F11" i="4"/>
  <c r="B11" i="4"/>
  <c r="G10" i="4"/>
  <c r="F10" i="4"/>
  <c r="B10" i="4"/>
  <c r="C40" i="3"/>
  <c r="G39" i="3"/>
  <c r="F39" i="3"/>
  <c r="AI62" i="1" s="1"/>
  <c r="B39" i="3"/>
  <c r="G38" i="3"/>
  <c r="F38" i="3"/>
  <c r="B38" i="3"/>
  <c r="G37" i="3"/>
  <c r="F37" i="3"/>
  <c r="B37" i="3"/>
  <c r="G36" i="3"/>
  <c r="F36" i="3"/>
  <c r="AF62" i="1" s="1"/>
  <c r="B36" i="3"/>
  <c r="G35" i="3"/>
  <c r="F35" i="3"/>
  <c r="B35" i="3"/>
  <c r="G34" i="3"/>
  <c r="F34" i="3"/>
  <c r="B34" i="3"/>
  <c r="G33" i="3"/>
  <c r="F33" i="3"/>
  <c r="AC62" i="1" s="1"/>
  <c r="B33" i="3"/>
  <c r="G32" i="3"/>
  <c r="F32" i="3"/>
  <c r="AB62" i="1" s="1"/>
  <c r="B32" i="3"/>
  <c r="G31" i="3"/>
  <c r="F31" i="3"/>
  <c r="B31" i="3"/>
  <c r="G30" i="3"/>
  <c r="F30" i="3"/>
  <c r="B30" i="3"/>
  <c r="G29" i="3"/>
  <c r="F29" i="3"/>
  <c r="B29" i="3"/>
  <c r="G28" i="3"/>
  <c r="F28" i="3"/>
  <c r="B28" i="3"/>
  <c r="G27" i="3"/>
  <c r="F27" i="3"/>
  <c r="W62" i="1" s="1"/>
  <c r="B27" i="3"/>
  <c r="G26" i="3"/>
  <c r="F26" i="3"/>
  <c r="B26" i="3"/>
  <c r="G25" i="3"/>
  <c r="F25" i="3"/>
  <c r="B25" i="3"/>
  <c r="G24" i="3"/>
  <c r="F24" i="3"/>
  <c r="T62" i="1" s="1"/>
  <c r="B24" i="3"/>
  <c r="G23" i="3"/>
  <c r="F23" i="3"/>
  <c r="B23" i="3"/>
  <c r="G22" i="3"/>
  <c r="F22" i="3"/>
  <c r="B22" i="3"/>
  <c r="G21" i="3"/>
  <c r="F21" i="3"/>
  <c r="Q62" i="1" s="1"/>
  <c r="B21" i="3"/>
  <c r="G20" i="3"/>
  <c r="F20" i="3"/>
  <c r="P62" i="1" s="1"/>
  <c r="B20" i="3"/>
  <c r="G19" i="3"/>
  <c r="F19" i="3"/>
  <c r="B19" i="3"/>
  <c r="G18" i="3"/>
  <c r="F18" i="3"/>
  <c r="B18" i="3"/>
  <c r="G17" i="3"/>
  <c r="F17" i="3"/>
  <c r="B17" i="3"/>
  <c r="G16" i="3"/>
  <c r="F16" i="3"/>
  <c r="B16" i="3"/>
  <c r="G15" i="3"/>
  <c r="F15" i="3"/>
  <c r="K62" i="1" s="1"/>
  <c r="B15" i="3"/>
  <c r="G14" i="3"/>
  <c r="F14" i="3"/>
  <c r="B14" i="3"/>
  <c r="G13" i="3"/>
  <c r="F13" i="3"/>
  <c r="B13" i="3"/>
  <c r="G12" i="3"/>
  <c r="F12" i="3"/>
  <c r="H62" i="1" s="1"/>
  <c r="B12" i="3"/>
  <c r="G11" i="3"/>
  <c r="F11" i="3"/>
  <c r="C41" i="3" s="1"/>
  <c r="B11" i="3"/>
  <c r="G10" i="3"/>
  <c r="C42" i="3" s="1"/>
  <c r="F10" i="3"/>
  <c r="B10" i="3"/>
  <c r="C40" i="2"/>
  <c r="G39" i="2"/>
  <c r="F39" i="2"/>
  <c r="B39" i="2"/>
  <c r="G38" i="2"/>
  <c r="F38" i="2"/>
  <c r="AH61" i="1" s="1"/>
  <c r="B38" i="2"/>
  <c r="G37" i="2"/>
  <c r="F37" i="2"/>
  <c r="B37" i="2"/>
  <c r="G36" i="2"/>
  <c r="F36" i="2"/>
  <c r="B36" i="2"/>
  <c r="G35" i="2"/>
  <c r="F35" i="2"/>
  <c r="B35" i="2"/>
  <c r="G34" i="2"/>
  <c r="F34" i="2"/>
  <c r="B34" i="2"/>
  <c r="G33" i="2"/>
  <c r="F33" i="2"/>
  <c r="B33" i="2"/>
  <c r="G32" i="2"/>
  <c r="F32" i="2"/>
  <c r="B32" i="2"/>
  <c r="G31" i="2"/>
  <c r="F31" i="2"/>
  <c r="B31" i="2"/>
  <c r="G30" i="2"/>
  <c r="F30" i="2"/>
  <c r="Z61" i="1" s="1"/>
  <c r="B30" i="2"/>
  <c r="G29" i="2"/>
  <c r="F29" i="2"/>
  <c r="B29" i="2"/>
  <c r="G28" i="2"/>
  <c r="F28" i="2"/>
  <c r="B28" i="2"/>
  <c r="G27" i="2"/>
  <c r="F27" i="2"/>
  <c r="B27" i="2"/>
  <c r="G26" i="2"/>
  <c r="F26" i="2"/>
  <c r="V61" i="1" s="1"/>
  <c r="B26" i="2"/>
  <c r="G25" i="2"/>
  <c r="F25" i="2"/>
  <c r="B25" i="2"/>
  <c r="G24" i="2"/>
  <c r="F24" i="2"/>
  <c r="B24" i="2"/>
  <c r="G23" i="2"/>
  <c r="F23" i="2"/>
  <c r="B23" i="2"/>
  <c r="G22" i="2"/>
  <c r="F22" i="2"/>
  <c r="B22" i="2"/>
  <c r="G21" i="2"/>
  <c r="F21" i="2"/>
  <c r="B21" i="2"/>
  <c r="G20" i="2"/>
  <c r="F20" i="2"/>
  <c r="B20" i="2"/>
  <c r="G19" i="2"/>
  <c r="F19" i="2"/>
  <c r="B19" i="2"/>
  <c r="G18" i="2"/>
  <c r="F18" i="2"/>
  <c r="N61" i="1" s="1"/>
  <c r="B18" i="2"/>
  <c r="G17" i="2"/>
  <c r="F17" i="2"/>
  <c r="B17" i="2"/>
  <c r="G16" i="2"/>
  <c r="F16" i="2"/>
  <c r="B16" i="2"/>
  <c r="G15" i="2"/>
  <c r="F15" i="2"/>
  <c r="B15" i="2"/>
  <c r="G14" i="2"/>
  <c r="F14" i="2"/>
  <c r="J61" i="1" s="1"/>
  <c r="B14" i="2"/>
  <c r="G13" i="2"/>
  <c r="F13" i="2"/>
  <c r="B13" i="2"/>
  <c r="G12" i="2"/>
  <c r="F12" i="2"/>
  <c r="H14" i="1" s="1"/>
  <c r="B12" i="2"/>
  <c r="G11" i="2"/>
  <c r="F11" i="2"/>
  <c r="G61" i="1" s="1"/>
  <c r="B11" i="2"/>
  <c r="G10" i="2"/>
  <c r="F10" i="2"/>
  <c r="F61" i="1" s="1"/>
  <c r="B10" i="2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J66" i="1"/>
  <c r="H66" i="1"/>
  <c r="G66" i="1"/>
  <c r="AI65" i="1"/>
  <c r="AG65" i="1"/>
  <c r="AE65" i="1"/>
  <c r="AC65" i="1"/>
  <c r="AB65" i="1"/>
  <c r="Y65" i="1"/>
  <c r="X65" i="1"/>
  <c r="W65" i="1"/>
  <c r="U65" i="1"/>
  <c r="T65" i="1"/>
  <c r="S65" i="1"/>
  <c r="Q65" i="1"/>
  <c r="P65" i="1"/>
  <c r="M65" i="1"/>
  <c r="L65" i="1"/>
  <c r="K65" i="1"/>
  <c r="I65" i="1"/>
  <c r="H65" i="1"/>
  <c r="AG64" i="1"/>
  <c r="AF64" i="1"/>
  <c r="AE64" i="1"/>
  <c r="AD64" i="1"/>
  <c r="AB64" i="1"/>
  <c r="AA64" i="1"/>
  <c r="Y64" i="1"/>
  <c r="X64" i="1"/>
  <c r="U64" i="1"/>
  <c r="T64" i="1"/>
  <c r="S64" i="1"/>
  <c r="R64" i="1"/>
  <c r="P64" i="1"/>
  <c r="O64" i="1"/>
  <c r="M64" i="1"/>
  <c r="L64" i="1"/>
  <c r="I64" i="1"/>
  <c r="H64" i="1"/>
  <c r="G64" i="1"/>
  <c r="AH63" i="1"/>
  <c r="AG63" i="1"/>
  <c r="AD63" i="1"/>
  <c r="AC63" i="1"/>
  <c r="AB63" i="1"/>
  <c r="AA63" i="1"/>
  <c r="Y63" i="1"/>
  <c r="X63" i="1"/>
  <c r="V63" i="1"/>
  <c r="U63" i="1"/>
  <c r="R63" i="1"/>
  <c r="Q63" i="1"/>
  <c r="P63" i="1"/>
  <c r="O63" i="1"/>
  <c r="M63" i="1"/>
  <c r="L63" i="1"/>
  <c r="J63" i="1"/>
  <c r="I63" i="1"/>
  <c r="AH62" i="1"/>
  <c r="AG62" i="1"/>
  <c r="AE62" i="1"/>
  <c r="AD62" i="1"/>
  <c r="AA62" i="1"/>
  <c r="Z62" i="1"/>
  <c r="Y62" i="1"/>
  <c r="X62" i="1"/>
  <c r="V62" i="1"/>
  <c r="U62" i="1"/>
  <c r="S62" i="1"/>
  <c r="R62" i="1"/>
  <c r="O62" i="1"/>
  <c r="N62" i="1"/>
  <c r="M62" i="1"/>
  <c r="L62" i="1"/>
  <c r="J62" i="1"/>
  <c r="I62" i="1"/>
  <c r="G62" i="1"/>
  <c r="F62" i="1"/>
  <c r="AI61" i="1"/>
  <c r="AG61" i="1"/>
  <c r="AF61" i="1"/>
  <c r="AE61" i="1"/>
  <c r="AD61" i="1"/>
  <c r="AC61" i="1"/>
  <c r="AB61" i="1"/>
  <c r="AA61" i="1"/>
  <c r="Y61" i="1"/>
  <c r="X61" i="1"/>
  <c r="W61" i="1"/>
  <c r="U61" i="1"/>
  <c r="T61" i="1"/>
  <c r="S61" i="1"/>
  <c r="R61" i="1"/>
  <c r="Q61" i="1"/>
  <c r="P61" i="1"/>
  <c r="O61" i="1"/>
  <c r="M61" i="1"/>
  <c r="L61" i="1"/>
  <c r="K61" i="1"/>
  <c r="I61" i="1"/>
  <c r="AI54" i="1"/>
  <c r="AH54" i="1"/>
  <c r="AG54" i="1"/>
  <c r="AE54" i="1"/>
  <c r="AD54" i="1"/>
  <c r="AC54" i="1"/>
  <c r="AB54" i="1"/>
  <c r="AA54" i="1"/>
  <c r="Z54" i="1"/>
  <c r="Y54" i="1"/>
  <c r="X54" i="1"/>
  <c r="W54" i="1"/>
  <c r="V54" i="1"/>
  <c r="U54" i="1"/>
  <c r="S54" i="1"/>
  <c r="R54" i="1"/>
  <c r="Q54" i="1"/>
  <c r="P54" i="1"/>
  <c r="N54" i="1"/>
  <c r="M54" i="1"/>
  <c r="L54" i="1"/>
  <c r="J54" i="1"/>
  <c r="I54" i="1"/>
  <c r="G54" i="1"/>
  <c r="F54" i="1"/>
  <c r="AI53" i="1"/>
  <c r="AH53" i="1"/>
  <c r="AG53" i="1"/>
  <c r="AE53" i="1"/>
  <c r="AD53" i="1"/>
  <c r="AC53" i="1"/>
  <c r="AB53" i="1"/>
  <c r="Z53" i="1"/>
  <c r="Y53" i="1"/>
  <c r="X53" i="1"/>
  <c r="W53" i="1"/>
  <c r="V53" i="1"/>
  <c r="U53" i="1"/>
  <c r="S53" i="1"/>
  <c r="R53" i="1"/>
  <c r="Q53" i="1"/>
  <c r="P53" i="1"/>
  <c r="N53" i="1"/>
  <c r="M53" i="1"/>
  <c r="K53" i="1"/>
  <c r="J53" i="1"/>
  <c r="I53" i="1"/>
  <c r="AI52" i="1"/>
  <c r="AH52" i="1"/>
  <c r="AG52" i="1"/>
  <c r="AF52" i="1"/>
  <c r="AE52" i="1"/>
  <c r="AD52" i="1"/>
  <c r="AB52" i="1"/>
  <c r="AA52" i="1"/>
  <c r="Z52" i="1"/>
  <c r="Y52" i="1"/>
  <c r="X52" i="1"/>
  <c r="W52" i="1"/>
  <c r="V52" i="1"/>
  <c r="U52" i="1"/>
  <c r="T52" i="1"/>
  <c r="R52" i="1"/>
  <c r="P52" i="1"/>
  <c r="O52" i="1"/>
  <c r="N52" i="1"/>
  <c r="M52" i="1"/>
  <c r="L52" i="1"/>
  <c r="K52" i="1"/>
  <c r="J52" i="1"/>
  <c r="I52" i="1"/>
  <c r="H52" i="1"/>
  <c r="G52" i="1"/>
  <c r="F52" i="1"/>
  <c r="AI45" i="1"/>
  <c r="AH45" i="1"/>
  <c r="AG45" i="1"/>
  <c r="AF45" i="1"/>
  <c r="AE45" i="1"/>
  <c r="AD45" i="1"/>
  <c r="AC45" i="1"/>
  <c r="AB45" i="1"/>
  <c r="Z45" i="1"/>
  <c r="Y45" i="1"/>
  <c r="X45" i="1"/>
  <c r="W45" i="1"/>
  <c r="V45" i="1"/>
  <c r="U45" i="1"/>
  <c r="T45" i="1"/>
  <c r="S45" i="1"/>
  <c r="R45" i="1"/>
  <c r="Q45" i="1"/>
  <c r="P45" i="1"/>
  <c r="N45" i="1"/>
  <c r="L45" i="1"/>
  <c r="K45" i="1"/>
  <c r="J45" i="1"/>
  <c r="I45" i="1"/>
  <c r="H45" i="1"/>
  <c r="AI44" i="1"/>
  <c r="AH44" i="1"/>
  <c r="AG44" i="1"/>
  <c r="AF44" i="1"/>
  <c r="AE44" i="1"/>
  <c r="AD44" i="1"/>
  <c r="AC44" i="1"/>
  <c r="AB44" i="1"/>
  <c r="AA44" i="1"/>
  <c r="Z44" i="1"/>
  <c r="X44" i="1"/>
  <c r="W44" i="1"/>
  <c r="V44" i="1"/>
  <c r="U44" i="1"/>
  <c r="T44" i="1"/>
  <c r="S44" i="1"/>
  <c r="R44" i="1"/>
  <c r="Q44" i="1"/>
  <c r="P44" i="1"/>
  <c r="O44" i="1"/>
  <c r="N44" i="1"/>
  <c r="M44" i="1"/>
  <c r="K44" i="1"/>
  <c r="J44" i="1"/>
  <c r="I44" i="1"/>
  <c r="H44" i="1"/>
  <c r="G44" i="1"/>
  <c r="F44" i="1"/>
  <c r="AI43" i="1"/>
  <c r="AH43" i="1"/>
  <c r="AG43" i="1"/>
  <c r="AF43" i="1"/>
  <c r="AE43" i="1"/>
  <c r="AD43" i="1"/>
  <c r="AC43" i="1"/>
  <c r="AB43" i="1"/>
  <c r="AA43" i="1"/>
  <c r="Z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N36" i="1"/>
  <c r="P36" i="1" s="1"/>
  <c r="N35" i="1"/>
  <c r="P35" i="1" s="1"/>
  <c r="N34" i="1"/>
  <c r="P34" i="1" s="1"/>
  <c r="AM34" i="1"/>
  <c r="N33" i="1"/>
  <c r="P33" i="1" s="1"/>
  <c r="AM32" i="1"/>
  <c r="AM36" i="1" s="1"/>
  <c r="N32" i="1"/>
  <c r="P32" i="1" s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K25" i="1"/>
  <c r="J25" i="1"/>
  <c r="H25" i="1"/>
  <c r="G25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R24" i="1"/>
  <c r="Q24" i="1"/>
  <c r="P24" i="1"/>
  <c r="N24" i="1"/>
  <c r="M24" i="1"/>
  <c r="L24" i="1"/>
  <c r="J24" i="1"/>
  <c r="I24" i="1"/>
  <c r="H24" i="1"/>
  <c r="G24" i="1"/>
  <c r="F24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F22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M20" i="1"/>
  <c r="K20" i="1"/>
  <c r="J20" i="1"/>
  <c r="I20" i="1"/>
  <c r="H20" i="1"/>
  <c r="G20" i="1"/>
  <c r="F20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AI16" i="1"/>
  <c r="AH16" i="1"/>
  <c r="AG16" i="1"/>
  <c r="AF16" i="1"/>
  <c r="AE16" i="1"/>
  <c r="AD16" i="1"/>
  <c r="AC16" i="1"/>
  <c r="AB16" i="1"/>
  <c r="AA16" i="1"/>
  <c r="Z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F14" i="1"/>
  <c r="AK18" i="1" l="1"/>
  <c r="AL18" i="1" s="1"/>
  <c r="AM18" i="1" s="1"/>
  <c r="AK15" i="1"/>
  <c r="AL15" i="1" s="1"/>
  <c r="AM15" i="1" s="1"/>
  <c r="AK16" i="1"/>
  <c r="AL16" i="1" s="1"/>
  <c r="AM16" i="1" s="1"/>
  <c r="Y16" i="1"/>
  <c r="C42" i="4"/>
  <c r="AK43" i="1"/>
  <c r="AL43" i="1" s="1"/>
  <c r="AM43" i="1" s="1"/>
  <c r="H61" i="1"/>
  <c r="F66" i="1"/>
  <c r="C41" i="13"/>
  <c r="I25" i="1"/>
  <c r="AK25" i="1" s="1"/>
  <c r="AL25" i="1" s="1"/>
  <c r="AM25" i="1" s="1"/>
  <c r="C42" i="13"/>
  <c r="AK66" i="1"/>
  <c r="AL66" i="1" s="1"/>
  <c r="AM66" i="1" s="1"/>
  <c r="K54" i="1"/>
  <c r="O54" i="1"/>
  <c r="C41" i="12"/>
  <c r="C42" i="12"/>
  <c r="AK24" i="1"/>
  <c r="AL24" i="1" s="1"/>
  <c r="AM24" i="1" s="1"/>
  <c r="C42" i="11"/>
  <c r="C41" i="11"/>
  <c r="F23" i="1"/>
  <c r="AK23" i="1" s="1"/>
  <c r="AL23" i="1" s="1"/>
  <c r="AM23" i="1" s="1"/>
  <c r="F45" i="1"/>
  <c r="AK45" i="1" s="1"/>
  <c r="AL45" i="1" s="1"/>
  <c r="AM45" i="1" s="1"/>
  <c r="C41" i="10"/>
  <c r="G22" i="1"/>
  <c r="AK22" i="1" s="1"/>
  <c r="AL22" i="1" s="1"/>
  <c r="AM22" i="1" s="1"/>
  <c r="C42" i="10"/>
  <c r="F21" i="1"/>
  <c r="AK21" i="1" s="1"/>
  <c r="AL21" i="1" s="1"/>
  <c r="AM21" i="1" s="1"/>
  <c r="F64" i="1"/>
  <c r="AK64" i="1" s="1"/>
  <c r="AL64" i="1" s="1"/>
  <c r="AM64" i="1" s="1"/>
  <c r="C42" i="9"/>
  <c r="C41" i="8"/>
  <c r="L44" i="1"/>
  <c r="AK44" i="1" s="1"/>
  <c r="AL44" i="1" s="1"/>
  <c r="AM44" i="1" s="1"/>
  <c r="AK20" i="1"/>
  <c r="AL20" i="1" s="1"/>
  <c r="AM20" i="1" s="1"/>
  <c r="C42" i="8"/>
  <c r="C42" i="7"/>
  <c r="G19" i="1"/>
  <c r="AK19" i="1" s="1"/>
  <c r="AL19" i="1" s="1"/>
  <c r="AM19" i="1" s="1"/>
  <c r="F53" i="1"/>
  <c r="AK53" i="1" s="1"/>
  <c r="AL53" i="1" s="1"/>
  <c r="AM53" i="1" s="1"/>
  <c r="C41" i="7"/>
  <c r="F63" i="1"/>
  <c r="AK63" i="1" s="1"/>
  <c r="AL63" i="1" s="1"/>
  <c r="AM63" i="1" s="1"/>
  <c r="AK52" i="1"/>
  <c r="AL52" i="1" s="1"/>
  <c r="AM52" i="1" s="1"/>
  <c r="S17" i="1"/>
  <c r="AK17" i="1" s="1"/>
  <c r="AL17" i="1" s="1"/>
  <c r="AM17" i="1" s="1"/>
  <c r="C42" i="5"/>
  <c r="C41" i="5"/>
  <c r="C41" i="4"/>
  <c r="C41" i="2"/>
  <c r="AK61" i="1"/>
  <c r="AL61" i="1" s="1"/>
  <c r="AM61" i="1" s="1"/>
  <c r="C42" i="2"/>
  <c r="G14" i="1"/>
  <c r="AK14" i="1" s="1"/>
  <c r="AL14" i="1" s="1"/>
  <c r="AM14" i="1" s="1"/>
  <c r="AK54" i="1"/>
  <c r="AL54" i="1" s="1"/>
  <c r="AM54" i="1" s="1"/>
  <c r="P37" i="1"/>
  <c r="AK62" i="1"/>
  <c r="AL62" i="1" s="1"/>
  <c r="AM62" i="1" s="1"/>
  <c r="F65" i="1"/>
  <c r="AK65" i="1" s="1"/>
  <c r="AL65" i="1" s="1"/>
  <c r="AM65" i="1" s="1"/>
  <c r="AM46" i="1" l="1"/>
  <c r="AM55" i="1"/>
  <c r="AM26" i="1"/>
  <c r="AM67" i="1"/>
  <c r="AL69" i="1" l="1"/>
  <c r="W71" i="1" s="1"/>
</calcChain>
</file>

<file path=xl/sharedStrings.xml><?xml version="1.0" encoding="utf-8"?>
<sst xmlns="http://schemas.openxmlformats.org/spreadsheetml/2006/main" count="366" uniqueCount="78">
  <si>
    <t>CERTIFICADO DE PAGO</t>
  </si>
  <si>
    <t>Fecha:</t>
  </si>
  <si>
    <t>CLIENTE:</t>
  </si>
  <si>
    <t>EMBOL S.A. / GERENCIA DE OPERACIONES E INNOVACION TECNOLOGICA</t>
  </si>
  <si>
    <t>PERIODO:</t>
  </si>
  <si>
    <t>SERVICIO:</t>
  </si>
  <si>
    <t>SERVICIO DE SUPERVISION DE PROYECTOS</t>
  </si>
  <si>
    <t>DIAS LABORABLES:</t>
  </si>
  <si>
    <t>ORDEN DE COMPRA:</t>
  </si>
  <si>
    <t>MONEDA:</t>
  </si>
  <si>
    <t>Bolivianos</t>
  </si>
  <si>
    <t>CERTIFICADO</t>
  </si>
  <si>
    <t>PLANILLA DE PERSONAL</t>
  </si>
  <si>
    <t>ITEM</t>
  </si>
  <si>
    <t>NOMBRE</t>
  </si>
  <si>
    <t>CARGO</t>
  </si>
  <si>
    <t>FECHA DE INICIO</t>
  </si>
  <si>
    <t>HABER BASICO</t>
  </si>
  <si>
    <t>DIAS</t>
  </si>
  <si>
    <t>TOTAL DIAS</t>
  </si>
  <si>
    <t>HABER GANADO</t>
  </si>
  <si>
    <t>FACTURADO</t>
  </si>
  <si>
    <t>RAMIRO ARMANDO SUAREZ RIBERO</t>
  </si>
  <si>
    <t>Project Manager Central</t>
  </si>
  <si>
    <t>ERICKA YOSELIN  FLORES  VACA</t>
  </si>
  <si>
    <t>Project Manager Regional SCZ</t>
  </si>
  <si>
    <t>CESAR JOSÉ MOYA VARGAS</t>
  </si>
  <si>
    <t>Project Manager Regional LPZ</t>
  </si>
  <si>
    <t>OSCAR ROLANDO MENDEZ ROCA FARELL</t>
  </si>
  <si>
    <t>Project Manager Regional CBA</t>
  </si>
  <si>
    <t>JORGE LUIS  ROJAS  DÁVILA</t>
  </si>
  <si>
    <t>Supervisor Civil Regional SCZ</t>
  </si>
  <si>
    <t>OSCAR FABIAN QUIROGA  TAMAYO</t>
  </si>
  <si>
    <t>Supervisor Civil Regional CBA</t>
  </si>
  <si>
    <t>MARTIN EDUARDO VELIZ AREVALO</t>
  </si>
  <si>
    <t>Supervisor Civil Regional LPZ</t>
  </si>
  <si>
    <t>RAÚL RAIMUNDO PARRAGA ANTEZANA</t>
  </si>
  <si>
    <t>Supervisor Eléctrico Regional</t>
  </si>
  <si>
    <t>ABRAHAM  QUENA  CABRERA</t>
  </si>
  <si>
    <t>Supervisor Mecánico Regional</t>
  </si>
  <si>
    <t>DAVID ARIEL PEREDO MIRANDA</t>
  </si>
  <si>
    <t>Supervisor Elt/Mec Regional</t>
  </si>
  <si>
    <t>ERIN CALLEJAS VELASQUEZ</t>
  </si>
  <si>
    <t>JOSUÉ CONRRADO FERNÁNDEZ SOTEZ</t>
  </si>
  <si>
    <t>Encargado de Almacén</t>
  </si>
  <si>
    <t>PASAJES Y VIATICOS</t>
  </si>
  <si>
    <t>ALQUILER EQUIPOS DE COMPUTACION</t>
  </si>
  <si>
    <t>DESCRIPCION</t>
  </si>
  <si>
    <t>FECHA IDA</t>
  </si>
  <si>
    <t>FECHA REGRESO</t>
  </si>
  <si>
    <t>P.U.
(Variable)</t>
  </si>
  <si>
    <t>CANTIDAD</t>
  </si>
  <si>
    <t>COSTO TOTAL</t>
  </si>
  <si>
    <t>Dotación de Equipos de Computación i5/i7 de ÚLTIMA GENERACIÓN con Licencia Software Basico - Contrato anual.</t>
  </si>
  <si>
    <t>Dotación de Equipos de Computación i5/i7 de ÚLTIMA GENERACIÓN con Licencia Software Especializado de diseño - Contrato anual.</t>
  </si>
  <si>
    <t>PLANILLA DE ALIMENTACION LA PAZ</t>
  </si>
  <si>
    <t>Fee Cont</t>
  </si>
  <si>
    <t>P.U. CATERING</t>
  </si>
  <si>
    <t>PLANILLA DE ALIMENTACION CBA</t>
  </si>
  <si>
    <t>PLANILLA DE ALIMENTACION SCZ</t>
  </si>
  <si>
    <t>TOTAL FACTURACION</t>
  </si>
  <si>
    <t>REDLINE GENERAL SERVICES</t>
  </si>
  <si>
    <t>FIRMA APROBACION EMBOL</t>
  </si>
  <si>
    <t>PLANILLA CONTROL DE ASISTENCIA</t>
  </si>
  <si>
    <t>FECHA</t>
  </si>
  <si>
    <t>DIA</t>
  </si>
  <si>
    <t>HORA INGRESO</t>
  </si>
  <si>
    <t>HORA SALIDA</t>
  </si>
  <si>
    <t>REFRIGERIO</t>
  </si>
  <si>
    <t>HORAS TRABAJO</t>
  </si>
  <si>
    <t>ATRASOS MINUTOS</t>
  </si>
  <si>
    <t>OBSERVACIONES</t>
  </si>
  <si>
    <t>Feriado: Semana Santa</t>
  </si>
  <si>
    <t>TOTAL DIAS TRABAJADOS</t>
  </si>
  <si>
    <t>TOTAL HORAS TRABAJADAS</t>
  </si>
  <si>
    <t>ATRASOS</t>
  </si>
  <si>
    <t>Bs.</t>
  </si>
  <si>
    <t>Licencia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</si>
</sst>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yyyy\-mm\-dd"/>
    <numFmt numFmtId="165" formatCode="mmmm\ yyyy"/>
    <numFmt numFmtId="166" formatCode="dddd"/>
    <numFmt numFmtId="167" formatCode="dd\-mm\-yy;@"/>
  </numFmts>
  <fonts count="13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8"/>
      <color rgb="FF000000"/>
      <name val="Calibri"/>
      <family val="2"/>
    </font>
    <font>
      <b/>
      <sz val="24"/>
      <color rgb="FFFFFFFF"/>
      <name val="Calibri"/>
      <family val="2"/>
    </font>
    <font>
      <b/>
      <sz val="20"/>
      <color rgb="FF000000"/>
      <name val="Calibri"/>
      <family val="2"/>
    </font>
    <font>
      <b/>
      <sz val="16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36"/>
      <color rgb="FF000000"/>
      <name val="Calibri"/>
      <family val="2"/>
    </font>
    <font>
      <sz val="3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horizontal="center" vertical="center"/>
    </xf>
    <xf numFmtId="43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43" fontId="2" fillId="0" borderId="0" xfId="0" applyNumberFormat="1" applyFont="1" applyAlignment="1">
      <alignment horizontal="left" vertical="center"/>
    </xf>
    <xf numFmtId="167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3" fontId="4" fillId="0" borderId="5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43" fontId="2" fillId="0" borderId="3" xfId="0" applyNumberFormat="1" applyFont="1" applyBorder="1" applyAlignment="1">
      <alignment horizontal="center" vertical="center"/>
    </xf>
    <xf numFmtId="43" fontId="4" fillId="0" borderId="3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3" fontId="4" fillId="0" borderId="1" xfId="0" applyNumberFormat="1" applyFont="1" applyBorder="1" applyAlignment="1">
      <alignment horizontal="center" vertical="center"/>
    </xf>
    <xf numFmtId="0" fontId="0" fillId="0" borderId="4" xfId="0" applyBorder="1"/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/>
    <xf numFmtId="43" fontId="8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0" fillId="0" borderId="0" xfId="0"/>
    <xf numFmtId="0" fontId="2" fillId="0" borderId="1" xfId="0" applyFont="1" applyBorder="1" applyAlignment="1">
      <alignment horizontal="left" vertical="center"/>
    </xf>
    <xf numFmtId="0" fontId="10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 vertical="center" wrapText="1"/>
    </xf>
    <xf numFmtId="1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10" fillId="0" borderId="2" xfId="0" applyFont="1" applyBorder="1"/>
    <xf numFmtId="0" fontId="12" fillId="0" borderId="6" xfId="0" applyFont="1" applyBorder="1"/>
    <xf numFmtId="0" fontId="4" fillId="0" borderId="7" xfId="0" applyFont="1" applyBorder="1" applyAlignment="1">
      <alignment horizontal="left" vertical="center"/>
    </xf>
    <xf numFmtId="0" fontId="0" fillId="0" borderId="8" xfId="0" applyBorder="1"/>
    <xf numFmtId="165" fontId="4" fillId="0" borderId="9" xfId="0" applyNumberFormat="1" applyFont="1" applyBorder="1" applyAlignment="1">
      <alignment horizontal="center" vertical="center"/>
    </xf>
    <xf numFmtId="0" fontId="10" fillId="0" borderId="10" xfId="0" applyFont="1" applyBorder="1"/>
    <xf numFmtId="0" fontId="10" fillId="0" borderId="11" xfId="0" applyFont="1" applyBorder="1"/>
    <xf numFmtId="0" fontId="0" fillId="0" borderId="12" xfId="0" applyBorder="1"/>
    <xf numFmtId="0" fontId="0" fillId="0" borderId="13" xfId="0" applyBorder="1"/>
    <xf numFmtId="0" fontId="10" fillId="0" borderId="14" xfId="0" applyFont="1" applyBorder="1"/>
    <xf numFmtId="0" fontId="10" fillId="0" borderId="15" xfId="0" applyFont="1" applyBorder="1"/>
    <xf numFmtId="0" fontId="10" fillId="0" borderId="16" xfId="0" applyFont="1" applyBorder="1"/>
    <xf numFmtId="0" fontId="6" fillId="0" borderId="8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0" borderId="2" xfId="0" applyBorder="1"/>
    <xf numFmtId="0" fontId="5" fillId="2" borderId="6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358140</xdr:colOff>
      <xdr:row>0</xdr:row>
      <xdr:rowOff>137160</xdr:rowOff>
    </xdr:from>
    <xdr:to>
      <xdr:col>2</xdr:col>
      <xdr:colOff>1009304</xdr:colOff>
      <xdr:row>7</xdr:row>
      <xdr:rowOff>172578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ADD89AC-96F4-4F58-A280-F89BF82A1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920" y="137160"/>
          <a:ext cx="3584864" cy="16203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tabSelected="1" topLeftCell="C1" zoomScale="115" zoomScaleNormal="115" workbookViewId="0">
      <selection activeCell="T14" sqref="T14"/>
    </sheetView>
  </sheetViews>
  <sheetFormatPr defaultRowHeight="14.4" x14ac:dyDescent="0.3"/>
  <cols>
    <col min="1" max="1" width="7.6640625" customWidth="1"/>
    <col min="2" max="2" width="42.77734375" customWidth="1"/>
    <col min="3" max="3" width="29.44140625" customWidth="1"/>
    <col min="4" max="4" width="13.21875" customWidth="1"/>
    <col min="5" max="5" width="13.44140625" customWidth="1"/>
    <col min="6" max="6" width="5.77734375" customWidth="1"/>
    <col min="7" max="35" width="5.6640625" customWidth="1"/>
    <col min="36" max="36" width="13" customWidth="1"/>
    <col min="38" max="38" width="15.88671875" customWidth="1"/>
    <col min="39" max="39" width="13.109375" customWidth="1"/>
  </cols>
  <sheetData>
    <row r="1" spans="1:39" ht="23.4" customHeight="1" x14ac:dyDescent="0.3">
      <c r="A1" s="39"/>
      <c r="B1" s="39"/>
      <c r="C1" s="39"/>
      <c r="D1" s="42" t="s">
        <v>0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0" t="s">
        <v>1</v>
      </c>
      <c r="AM1" s="19">
        <v>46132</v>
      </c>
    </row>
    <row r="2" spans="1:39" ht="15" customHeight="1" x14ac:dyDescent="0.3">
      <c r="A2" s="39"/>
      <c r="B2" s="39"/>
      <c r="C2" s="39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5">
        <v>1</v>
      </c>
      <c r="AM2" s="36"/>
    </row>
    <row r="3" spans="1:39" ht="18" customHeight="1" x14ac:dyDescent="0.3">
      <c r="A3" s="39"/>
      <c r="B3" s="39"/>
      <c r="C3" s="39"/>
      <c r="D3" s="2" t="s">
        <v>2</v>
      </c>
      <c r="E3" s="43" t="s">
        <v>3</v>
      </c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7"/>
      <c r="W3" s="49" t="s">
        <v>4</v>
      </c>
      <c r="X3" s="50"/>
      <c r="Y3" s="51">
        <v>46113</v>
      </c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3"/>
      <c r="AL3" s="48"/>
      <c r="AM3" s="36"/>
    </row>
    <row r="4" spans="1:39" ht="18" customHeight="1" x14ac:dyDescent="0.3">
      <c r="A4" s="39"/>
      <c r="B4" s="39"/>
      <c r="C4" s="39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7"/>
      <c r="W4" s="54"/>
      <c r="X4" s="55"/>
      <c r="Y4" s="56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8"/>
      <c r="AL4" s="48"/>
      <c r="AM4" s="36"/>
    </row>
    <row r="5" spans="1:39" ht="18" customHeight="1" x14ac:dyDescent="0.3">
      <c r="A5" s="39"/>
      <c r="B5" s="39"/>
      <c r="C5" s="39"/>
      <c r="D5" s="2" t="s">
        <v>5</v>
      </c>
      <c r="E5" s="43" t="s">
        <v>6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7"/>
      <c r="W5" s="49" t="s">
        <v>7</v>
      </c>
      <c r="X5" s="50"/>
      <c r="Y5" s="50"/>
      <c r="Z5" s="50"/>
      <c r="AA5" s="59">
        <v>22</v>
      </c>
      <c r="AB5" s="59"/>
      <c r="AC5" s="59"/>
      <c r="AD5" s="59"/>
      <c r="AE5" s="59"/>
      <c r="AF5" s="59"/>
      <c r="AG5" s="59"/>
      <c r="AH5" s="59"/>
      <c r="AI5" s="59"/>
      <c r="AJ5" s="59"/>
      <c r="AK5" s="60"/>
      <c r="AL5" s="48"/>
      <c r="AM5" s="36"/>
    </row>
    <row r="6" spans="1:39" ht="18" customHeight="1" x14ac:dyDescent="0.3">
      <c r="A6" s="39"/>
      <c r="B6" s="39"/>
      <c r="C6" s="39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7"/>
      <c r="W6" s="54"/>
      <c r="X6" s="55"/>
      <c r="Y6" s="55"/>
      <c r="Z6" s="55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2"/>
      <c r="AL6" s="48"/>
      <c r="AM6" s="36"/>
    </row>
    <row r="7" spans="1:39" x14ac:dyDescent="0.3">
      <c r="A7" s="39"/>
      <c r="B7" s="39"/>
      <c r="C7" s="39"/>
      <c r="D7" s="4" t="s">
        <v>8</v>
      </c>
      <c r="F7" s="40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63"/>
      <c r="W7" s="49" t="s">
        <v>9</v>
      </c>
      <c r="X7" s="50"/>
      <c r="Y7" s="65" t="s">
        <v>10</v>
      </c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3"/>
      <c r="AL7" s="48"/>
      <c r="AM7" s="36"/>
    </row>
    <row r="8" spans="1:39" ht="23.4" customHeight="1" x14ac:dyDescent="0.3">
      <c r="A8" s="39"/>
      <c r="B8" s="39"/>
      <c r="C8" s="39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63"/>
      <c r="W8" s="54"/>
      <c r="X8" s="55"/>
      <c r="Y8" s="56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8"/>
      <c r="AL8" s="64" t="s">
        <v>11</v>
      </c>
      <c r="AM8" s="23"/>
    </row>
    <row r="10" spans="1:39" ht="31.2" customHeight="1" x14ac:dyDescent="0.3">
      <c r="A10" s="31" t="s">
        <v>12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</row>
    <row r="11" spans="1:39" ht="5.4" customHeight="1" x14ac:dyDescent="0.3"/>
    <row r="12" spans="1:39" x14ac:dyDescent="0.3">
      <c r="A12" s="22" t="s">
        <v>13</v>
      </c>
      <c r="B12" s="22" t="s">
        <v>14</v>
      </c>
      <c r="C12" s="22" t="s">
        <v>15</v>
      </c>
      <c r="D12" s="22" t="s">
        <v>16</v>
      </c>
      <c r="E12" s="22" t="s">
        <v>17</v>
      </c>
      <c r="F12" s="22" t="s">
        <v>18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2" t="s">
        <v>19</v>
      </c>
      <c r="AL12" s="22" t="s">
        <v>20</v>
      </c>
      <c r="AM12" s="22" t="s">
        <v>21</v>
      </c>
    </row>
    <row r="13" spans="1:39" x14ac:dyDescent="0.3">
      <c r="A13" s="23"/>
      <c r="B13" s="23"/>
      <c r="C13" s="23"/>
      <c r="D13" s="23"/>
      <c r="E13" s="23"/>
      <c r="F13" s="6">
        <v>1</v>
      </c>
      <c r="G13" s="6">
        <v>2</v>
      </c>
      <c r="H13" s="6">
        <v>3</v>
      </c>
      <c r="I13" s="6">
        <v>4</v>
      </c>
      <c r="J13" s="6">
        <v>5</v>
      </c>
      <c r="K13" s="6">
        <v>6</v>
      </c>
      <c r="L13" s="6">
        <v>7</v>
      </c>
      <c r="M13" s="6">
        <v>8</v>
      </c>
      <c r="N13" s="6">
        <v>9</v>
      </c>
      <c r="O13" s="6">
        <v>10</v>
      </c>
      <c r="P13" s="6">
        <v>11</v>
      </c>
      <c r="Q13" s="6">
        <v>12</v>
      </c>
      <c r="R13" s="6">
        <v>13</v>
      </c>
      <c r="S13" s="6">
        <v>14</v>
      </c>
      <c r="T13" s="6">
        <v>15</v>
      </c>
      <c r="U13" s="6">
        <v>16</v>
      </c>
      <c r="V13" s="6">
        <v>17</v>
      </c>
      <c r="W13" s="6">
        <v>18</v>
      </c>
      <c r="X13" s="6">
        <v>19</v>
      </c>
      <c r="Y13" s="6">
        <v>20</v>
      </c>
      <c r="Z13" s="6">
        <v>21</v>
      </c>
      <c r="AA13" s="6">
        <v>22</v>
      </c>
      <c r="AB13" s="6">
        <v>23</v>
      </c>
      <c r="AC13" s="6">
        <v>24</v>
      </c>
      <c r="AD13" s="6">
        <v>25</v>
      </c>
      <c r="AE13" s="6">
        <v>26</v>
      </c>
      <c r="AF13" s="6">
        <v>27</v>
      </c>
      <c r="AG13" s="6">
        <v>28</v>
      </c>
      <c r="AH13" s="6">
        <v>29</v>
      </c>
      <c r="AI13" s="6">
        <v>30</v>
      </c>
      <c r="AJ13" s="6"/>
      <c r="AK13" s="23"/>
      <c r="AL13" s="23"/>
      <c r="AM13" s="23"/>
    </row>
    <row r="14" spans="1:39" ht="19.95" customHeight="1" x14ac:dyDescent="0.3">
      <c r="A14" s="7">
        <v>1</v>
      </c>
      <c r="B14" s="5" t="s">
        <v>22</v>
      </c>
      <c r="C14" s="5" t="s">
        <v>23</v>
      </c>
      <c r="D14" s="19">
        <v>46113</v>
      </c>
      <c r="E14" s="9">
        <v>9500</v>
      </c>
      <c r="F14" s="7" t="str">
        <f>+IF('1'!F10&gt;1,"SI","NO")</f>
        <v>SI</v>
      </c>
      <c r="G14" s="7" t="str">
        <f>+IF('1'!F11&gt;1,"SI","NO")</f>
        <v>SI</v>
      </c>
      <c r="H14" s="7" t="str">
        <f>+IF('1'!F12&gt;1,"SI","NO")</f>
        <v>NO</v>
      </c>
      <c r="I14" s="7" t="str">
        <f>+IF('1'!F13&gt;1,"SI","NO")</f>
        <v>NO</v>
      </c>
      <c r="J14" s="7" t="str">
        <f>+IF('1'!F14&gt;1,"SI","NO")</f>
        <v>NO</v>
      </c>
      <c r="K14" s="7" t="str">
        <f>+IF('1'!F15&gt;1,"SI","NO")</f>
        <v>SI</v>
      </c>
      <c r="L14" s="7" t="str">
        <f>+IF('1'!F16&gt;1,"SI","NO")</f>
        <v>SI</v>
      </c>
      <c r="M14" s="7" t="str">
        <f>+IF('1'!F17&gt;1,"SI","NO")</f>
        <v>SI</v>
      </c>
      <c r="N14" s="7" t="str">
        <f>+IF('1'!F18&gt;1,"SI","NO")</f>
        <v>SI</v>
      </c>
      <c r="O14" s="7" t="str">
        <f>+IF('1'!F19&gt;1,"SI","NO")</f>
        <v>SI</v>
      </c>
      <c r="P14" s="7" t="str">
        <f>+IF('1'!F20&gt;1,"SI","NO")</f>
        <v>NO</v>
      </c>
      <c r="Q14" s="7" t="str">
        <f>+IF('1'!F21&gt;1,"SI","NO")</f>
        <v>NO</v>
      </c>
      <c r="R14" s="7" t="str">
        <f>+IF('1'!F22&gt;1,"SI","NO")</f>
        <v>SI</v>
      </c>
      <c r="S14" s="7" t="str">
        <f>+IF('1'!F23&gt;1,"SI","NO")</f>
        <v>SI</v>
      </c>
      <c r="T14" s="7" t="str">
        <f>+IF('1'!F24&gt;1,"SI","NO")</f>
        <v>SI</v>
      </c>
      <c r="U14" s="7" t="str">
        <f>+IF('1'!F25&gt;1,"SI","NO")</f>
        <v>SI</v>
      </c>
      <c r="V14" s="7" t="str">
        <f>+IF('1'!F26&gt;1,"SI","NO")</f>
        <v>SI</v>
      </c>
      <c r="W14" s="7" t="str">
        <f>+IF('1'!F27&gt;1,"SI","NO")</f>
        <v>SI</v>
      </c>
      <c r="X14" s="7" t="str">
        <f>+IF('1'!F28&gt;1,"SI","NO")</f>
        <v>NO</v>
      </c>
      <c r="Y14" s="7" t="str">
        <f>+IF('1'!F29&gt;1,"SI","NO")</f>
        <v>SI</v>
      </c>
      <c r="Z14" s="7" t="str">
        <f>+IF('1'!F30&gt;1,"SI","NO")</f>
        <v>NO</v>
      </c>
      <c r="AA14" s="7" t="str">
        <f>+IF('1'!F31&gt;1,"SI","NO")</f>
        <v>NO</v>
      </c>
      <c r="AB14" s="7" t="str">
        <f>+IF('1'!F32&gt;1,"SI","NO")</f>
        <v>NO</v>
      </c>
      <c r="AC14" s="7" t="str">
        <f>+IF('1'!F33&gt;1,"SI","NO")</f>
        <v>NO</v>
      </c>
      <c r="AD14" s="7" t="str">
        <f>+IF('1'!F34&gt;1,"SI","NO")</f>
        <v>NO</v>
      </c>
      <c r="AE14" s="7" t="str">
        <f>+IF('1'!F35&gt;1,"SI","NO")</f>
        <v>NO</v>
      </c>
      <c r="AF14" s="7" t="str">
        <f>+IF('1'!F36&gt;1,"SI","NO")</f>
        <v>NO</v>
      </c>
      <c r="AG14" s="7" t="str">
        <f>+IF('1'!F37&gt;1,"SI","NO")</f>
        <v>NO</v>
      </c>
      <c r="AH14" s="7" t="str">
        <f>+IF('1'!F38&gt;1,"SI","NO")</f>
        <v>NO</v>
      </c>
      <c r="AI14" s="7" t="str">
        <f>+IF('1'!F39&gt;1,"SI","NO")</f>
        <v>NO</v>
      </c>
      <c r="AJ14" s="7"/>
      <c r="AK14" s="7">
        <f t="shared" ref="AK14:AK25" si="0">+COUNTIF(F14:AJ14,"SI")</f>
        <v>14</v>
      </c>
      <c r="AL14" s="9">
        <f>+AK14/$AA$5*E14</f>
        <v>6045.454545454545</v>
      </c>
      <c r="AM14" s="9">
        <f t="shared" ref="AM14:AM25" si="1">+AL14/0.461310893326238</f>
        <v>13104.946431818193</v>
      </c>
    </row>
    <row r="15" spans="1:39" ht="19.95" customHeight="1" x14ac:dyDescent="0.3">
      <c r="A15" s="7">
        <v>2</v>
      </c>
      <c r="B15" s="5" t="s">
        <v>24</v>
      </c>
      <c r="C15" s="5" t="s">
        <v>25</v>
      </c>
      <c r="D15" s="19">
        <v>46118</v>
      </c>
      <c r="E15" s="9">
        <v>8000</v>
      </c>
      <c r="F15" s="7" t="str">
        <f>+IF('2'!F10&gt;1,"SI","NO")</f>
        <v>NO</v>
      </c>
      <c r="G15" s="7" t="str">
        <f>+IF('2'!F11&gt;1,"SI","NO")</f>
        <v>NO</v>
      </c>
      <c r="H15" s="7" t="str">
        <f>+IF('2'!F12&gt;1,"SI","NO")</f>
        <v>NO</v>
      </c>
      <c r="I15" s="7" t="str">
        <f>+IF('2'!F13&gt;1,"SI","NO")</f>
        <v>NO</v>
      </c>
      <c r="J15" s="7" t="str">
        <f>+IF('2'!F14&gt;1,"SI","NO")</f>
        <v>NO</v>
      </c>
      <c r="K15" s="7" t="str">
        <f>+IF('2'!F15&gt;1,"SI","NO")</f>
        <v>SI</v>
      </c>
      <c r="L15" s="7" t="str">
        <f>+IF('2'!F16&gt;1,"SI","NO")</f>
        <v>SI</v>
      </c>
      <c r="M15" s="7" t="str">
        <f>+IF('2'!F17&gt;1,"SI","NO")</f>
        <v>SI</v>
      </c>
      <c r="N15" s="7" t="str">
        <f>+IF('2'!F18&gt;1,"SI","NO")</f>
        <v>SI</v>
      </c>
      <c r="O15" s="7" t="str">
        <f>+IF('2'!F19&gt;1,"SI","NO")</f>
        <v>SI</v>
      </c>
      <c r="P15" s="7" t="str">
        <f>+IF('2'!F20&gt;1,"SI","NO")</f>
        <v>NO</v>
      </c>
      <c r="Q15" s="7" t="str">
        <f>+IF('2'!F21&gt;1,"SI","NO")</f>
        <v>NO</v>
      </c>
      <c r="R15" s="7" t="str">
        <f>+IF('2'!F22&gt;1,"SI","NO")</f>
        <v>SI</v>
      </c>
      <c r="S15" s="7" t="str">
        <f>+IF('2'!F23&gt;1,"SI","NO")</f>
        <v>SI</v>
      </c>
      <c r="T15" s="7" t="str">
        <f>+IF('2'!F24&gt;1,"SI","NO")</f>
        <v>SI</v>
      </c>
      <c r="U15" s="7" t="str">
        <f>+IF('2'!F25&gt;1,"SI","NO")</f>
        <v>SI</v>
      </c>
      <c r="V15" s="7" t="str">
        <f>+IF('2'!F26&gt;1,"SI","NO")</f>
        <v>SI</v>
      </c>
      <c r="W15" s="7" t="str">
        <f>+IF('2'!F27&gt;1,"SI","NO")</f>
        <v>NO</v>
      </c>
      <c r="X15" s="7" t="str">
        <f>+IF('2'!F28&gt;1,"SI","NO")</f>
        <v>NO</v>
      </c>
      <c r="Y15" s="7" t="str">
        <f>+IF('2'!F29&gt;1,"SI","NO")</f>
        <v>SI</v>
      </c>
      <c r="Z15" s="7" t="str">
        <f>+IF('2'!F30&gt;1,"SI","NO")</f>
        <v>NO</v>
      </c>
      <c r="AA15" s="7" t="str">
        <f>+IF('2'!F31&gt;1,"SI","NO")</f>
        <v>NO</v>
      </c>
      <c r="AB15" s="7" t="str">
        <f>+IF('2'!F32&gt;1,"SI","NO")</f>
        <v>NO</v>
      </c>
      <c r="AC15" s="7" t="str">
        <f>+IF('2'!F33&gt;1,"SI","NO")</f>
        <v>NO</v>
      </c>
      <c r="AD15" s="7" t="str">
        <f>+IF('2'!F34&gt;1,"SI","NO")</f>
        <v>NO</v>
      </c>
      <c r="AE15" s="7" t="str">
        <f>+IF('2'!F35&gt;1,"SI","NO")</f>
        <v>NO</v>
      </c>
      <c r="AF15" s="7" t="str">
        <f>+IF('2'!F36&gt;1,"SI","NO")</f>
        <v>NO</v>
      </c>
      <c r="AG15" s="7" t="str">
        <f>+IF('2'!F37&gt;1,"SI","NO")</f>
        <v>NO</v>
      </c>
      <c r="AH15" s="7" t="str">
        <f>+IF('2'!F38&gt;1,"SI","NO")</f>
        <v>NO</v>
      </c>
      <c r="AI15" s="7" t="str">
        <f>+IF('2'!F39&gt;1,"SI","NO")</f>
        <v>NO</v>
      </c>
      <c r="AJ15" s="7"/>
      <c r="AK15" s="7">
        <f t="shared" si="0"/>
        <v>11</v>
      </c>
      <c r="AL15" s="9">
        <f>+AK15/$AA$5*E15</f>
        <v>4000</v>
      </c>
      <c r="AM15" s="9">
        <f t="shared" si="1"/>
        <v>8670.9420000000082</v>
      </c>
    </row>
    <row r="16" spans="1:39" ht="19.95" customHeight="1" x14ac:dyDescent="0.3">
      <c r="A16" s="7">
        <v>3</v>
      </c>
      <c r="B16" s="5" t="s">
        <v>26</v>
      </c>
      <c r="C16" s="5" t="s">
        <v>27</v>
      </c>
      <c r="D16" s="19">
        <v>46118</v>
      </c>
      <c r="E16" s="9">
        <v>8000</v>
      </c>
      <c r="F16" s="7" t="str">
        <f>+IF('3'!F10&gt;1,"SI","NO")</f>
        <v>NO</v>
      </c>
      <c r="G16" s="7" t="str">
        <f>+IF('3'!F11&gt;1,"SI","NO")</f>
        <v>NO</v>
      </c>
      <c r="H16" s="7" t="str">
        <f>+IF('3'!F12&gt;1,"SI","NO")</f>
        <v>NO</v>
      </c>
      <c r="I16" s="7" t="str">
        <f>+IF('3'!F13&gt;1,"SI","NO")</f>
        <v>NO</v>
      </c>
      <c r="J16" s="7" t="str">
        <f>+IF('3'!F14&gt;1,"SI","NO")</f>
        <v>NO</v>
      </c>
      <c r="K16" s="7" t="str">
        <f>+IF('3'!F15&gt;1,"SI","NO")</f>
        <v>SI</v>
      </c>
      <c r="L16" s="7" t="str">
        <f>+IF('3'!F16&gt;1,"SI","NO")</f>
        <v>SI</v>
      </c>
      <c r="M16" s="7" t="str">
        <f>+IF('3'!F17&gt;1,"SI","NO")</f>
        <v>SI</v>
      </c>
      <c r="N16" s="7" t="str">
        <f>+IF('3'!F18&gt;1,"SI","NO")</f>
        <v>SI</v>
      </c>
      <c r="O16" s="7" t="str">
        <f>+IF('3'!F19&gt;1,"SI","NO")</f>
        <v>SI</v>
      </c>
      <c r="P16" s="7" t="str">
        <f>+IF('3'!F20&gt;1,"SI","NO")</f>
        <v>NO</v>
      </c>
      <c r="Q16" s="7" t="str">
        <f>+IF('3'!F21&gt;1,"SI","NO")</f>
        <v>NO</v>
      </c>
      <c r="R16" s="7" t="str">
        <f>+IF('3'!F22&gt;1,"SI","NO")</f>
        <v>SI</v>
      </c>
      <c r="S16" s="7" t="str">
        <f>+IF('3'!F23&gt;1,"SI","NO")</f>
        <v>SI</v>
      </c>
      <c r="T16" s="7" t="str">
        <f>+IF('3'!F24&gt;1,"SI","NO")</f>
        <v>SI</v>
      </c>
      <c r="U16" s="7" t="str">
        <f>+IF('3'!F25&gt;1,"SI","NO")</f>
        <v>SI</v>
      </c>
      <c r="V16" s="7" t="str">
        <f>+IF('3'!F26&gt;1,"SI","NO")</f>
        <v>SI</v>
      </c>
      <c r="W16" s="7" t="str">
        <f>+IF('3'!F27&gt;1,"SI","NO")</f>
        <v>NO</v>
      </c>
      <c r="X16" s="7" t="str">
        <f>+IF('3'!F28&gt;1,"SI","NO")</f>
        <v>NO</v>
      </c>
      <c r="Y16" s="7" t="str">
        <f>+IF('3'!F29&gt;1,"SI","NO")</f>
        <v>SI</v>
      </c>
      <c r="Z16" s="7" t="str">
        <f>+IF('3'!F30&gt;1,"SI","NO")</f>
        <v>NO</v>
      </c>
      <c r="AA16" s="7" t="str">
        <f>+IF('3'!F31&gt;1,"SI","NO")</f>
        <v>NO</v>
      </c>
      <c r="AB16" s="7" t="str">
        <f>+IF('3'!F32&gt;1,"SI","NO")</f>
        <v>NO</v>
      </c>
      <c r="AC16" s="7" t="str">
        <f>+IF('3'!F33&gt;1,"SI","NO")</f>
        <v>NO</v>
      </c>
      <c r="AD16" s="7" t="str">
        <f>+IF('3'!F34&gt;1,"SI","NO")</f>
        <v>NO</v>
      </c>
      <c r="AE16" s="7" t="str">
        <f>+IF('3'!F35&gt;1,"SI","NO")</f>
        <v>NO</v>
      </c>
      <c r="AF16" s="7" t="str">
        <f>+IF('3'!F36&gt;1,"SI","NO")</f>
        <v>NO</v>
      </c>
      <c r="AG16" s="7" t="str">
        <f>+IF('3'!F37&gt;1,"SI","NO")</f>
        <v>NO</v>
      </c>
      <c r="AH16" s="7" t="str">
        <f>+IF('3'!F38&gt;1,"SI","NO")</f>
        <v>NO</v>
      </c>
      <c r="AI16" s="7" t="str">
        <f>+IF('3'!F39&gt;1,"SI","NO")</f>
        <v>NO</v>
      </c>
      <c r="AJ16" s="7"/>
      <c r="AK16" s="7">
        <f t="shared" si="0"/>
        <v>11</v>
      </c>
      <c r="AL16" s="9">
        <f>+AK16/$AA$5*E16</f>
        <v>4000</v>
      </c>
      <c r="AM16" s="9">
        <f t="shared" si="1"/>
        <v>8670.9420000000082</v>
      </c>
    </row>
    <row r="17" spans="1:39" ht="19.95" customHeight="1" x14ac:dyDescent="0.3">
      <c r="A17" s="7">
        <v>4</v>
      </c>
      <c r="B17" s="5" t="s">
        <v>28</v>
      </c>
      <c r="C17" s="5" t="s">
        <v>29</v>
      </c>
      <c r="D17" s="19">
        <v>46126</v>
      </c>
      <c r="E17" s="9">
        <v>8000</v>
      </c>
      <c r="F17" s="7" t="str">
        <f>+IF('4'!F10&gt;1,"SI","NO")</f>
        <v>NO</v>
      </c>
      <c r="G17" s="7" t="str">
        <f>+IF('4'!F11&gt;1,"SI","NO")</f>
        <v>NO</v>
      </c>
      <c r="H17" s="7" t="str">
        <f>+IF('4'!F12&gt;1,"SI","NO")</f>
        <v>NO</v>
      </c>
      <c r="I17" s="7" t="str">
        <f>+IF('4'!F13&gt;1,"SI","NO")</f>
        <v>NO</v>
      </c>
      <c r="J17" s="7" t="str">
        <f>+IF('4'!F14&gt;1,"SI","NO")</f>
        <v>NO</v>
      </c>
      <c r="K17" s="7" t="str">
        <f>+IF('4'!F15&gt;1,"SI","NO")</f>
        <v>NO</v>
      </c>
      <c r="L17" s="7" t="str">
        <f>+IF('4'!F16&gt;1,"SI","NO")</f>
        <v>NO</v>
      </c>
      <c r="M17" s="7" t="str">
        <f>+IF('4'!F17&gt;1,"SI","NO")</f>
        <v>NO</v>
      </c>
      <c r="N17" s="7" t="str">
        <f>+IF('4'!F18&gt;1,"SI","NO")</f>
        <v>NO</v>
      </c>
      <c r="O17" s="7" t="str">
        <f>+IF('4'!F19&gt;1,"SI","NO")</f>
        <v>NO</v>
      </c>
      <c r="P17" s="7" t="str">
        <f>+IF('4'!F20&gt;1,"SI","NO")</f>
        <v>NO</v>
      </c>
      <c r="Q17" s="7" t="str">
        <f>+IF('4'!F21&gt;1,"SI","NO")</f>
        <v>NO</v>
      </c>
      <c r="R17" s="7" t="str">
        <f>+IF('4'!F22&gt;1,"SI","NO")</f>
        <v>NO</v>
      </c>
      <c r="S17" s="7" t="str">
        <f>+IF('4'!F23&gt;1,"SI","NO")</f>
        <v>SI</v>
      </c>
      <c r="T17" s="7" t="str">
        <f>+IF('4'!F24&gt;1,"SI","NO")</f>
        <v>SI</v>
      </c>
      <c r="U17" s="7" t="str">
        <f>+IF('4'!F25&gt;1,"SI","NO")</f>
        <v>SI</v>
      </c>
      <c r="V17" s="7" t="str">
        <f>+IF('4'!F26&gt;1,"SI","NO")</f>
        <v>SI</v>
      </c>
      <c r="W17" s="7" t="str">
        <f>+IF('4'!F27&gt;1,"SI","NO")</f>
        <v>SI</v>
      </c>
      <c r="X17" s="7" t="str">
        <f>+IF('4'!F28&gt;1,"SI","NO")</f>
        <v>NO</v>
      </c>
      <c r="Y17" s="7" t="str">
        <f>+IF('4'!F29&gt;1,"SI","NO")</f>
        <v>SI</v>
      </c>
      <c r="Z17" s="7" t="str">
        <f>+IF('4'!F30&gt;1,"SI","NO")</f>
        <v>NO</v>
      </c>
      <c r="AA17" s="7" t="str">
        <f>+IF('4'!F31&gt;1,"SI","NO")</f>
        <v>NO</v>
      </c>
      <c r="AB17" s="7" t="str">
        <f>+IF('4'!F32&gt;1,"SI","NO")</f>
        <v>NO</v>
      </c>
      <c r="AC17" s="7" t="str">
        <f>+IF('4'!F33&gt;1,"SI","NO")</f>
        <v>NO</v>
      </c>
      <c r="AD17" s="7" t="str">
        <f>+IF('4'!F34&gt;1,"SI","NO")</f>
        <v>NO</v>
      </c>
      <c r="AE17" s="7" t="str">
        <f>+IF('4'!F35&gt;1,"SI","NO")</f>
        <v>NO</v>
      </c>
      <c r="AF17" s="7" t="str">
        <f>+IF('4'!F36&gt;1,"SI","NO")</f>
        <v>NO</v>
      </c>
      <c r="AG17" s="7" t="str">
        <f>+IF('4'!F37&gt;1,"SI","NO")</f>
        <v>NO</v>
      </c>
      <c r="AH17" s="7" t="str">
        <f>+IF('4'!F38&gt;1,"SI","NO")</f>
        <v>NO</v>
      </c>
      <c r="AI17" s="7" t="str">
        <f>+IF('4'!F39&gt;1,"SI","NO")</f>
        <v>NO</v>
      </c>
      <c r="AJ17" s="7"/>
      <c r="AK17" s="7">
        <f t="shared" si="0"/>
        <v>6</v>
      </c>
      <c r="AL17" s="9">
        <f>+AK17/$AA$5*E17</f>
        <v>2181.8181818181815</v>
      </c>
      <c r="AM17" s="9">
        <f t="shared" si="1"/>
        <v>4729.604727272731</v>
      </c>
    </row>
    <row r="18" spans="1:39" ht="19.95" customHeight="1" x14ac:dyDescent="0.3">
      <c r="A18" s="7">
        <v>5</v>
      </c>
      <c r="B18" s="5" t="s">
        <v>30</v>
      </c>
      <c r="C18" s="5" t="s">
        <v>31</v>
      </c>
      <c r="D18" s="19">
        <v>46113</v>
      </c>
      <c r="E18" s="9">
        <v>9165</v>
      </c>
      <c r="F18" s="7" t="str">
        <f>+IF('5'!F10&gt;1,"SI","NO")</f>
        <v>SI</v>
      </c>
      <c r="G18" s="7" t="str">
        <f>+IF('5'!F11&gt;1,"SI","NO")</f>
        <v>NO</v>
      </c>
      <c r="H18" s="7" t="str">
        <f>+IF('5'!F12&gt;1,"SI","NO")</f>
        <v>NO</v>
      </c>
      <c r="I18" s="7" t="str">
        <f>+IF('5'!F13&gt;1,"SI","NO")</f>
        <v>NO</v>
      </c>
      <c r="J18" s="7" t="str">
        <f>+IF('5'!F14&gt;1,"SI","NO")</f>
        <v>NO</v>
      </c>
      <c r="K18" s="7" t="str">
        <f>+IF('5'!F15&gt;1,"SI","NO")</f>
        <v>SI</v>
      </c>
      <c r="L18" s="7" t="str">
        <f>+IF('5'!F16&gt;1,"SI","NO")</f>
        <v>SI</v>
      </c>
      <c r="M18" s="7" t="str">
        <f>+IF('5'!F17&gt;1,"SI","NO")</f>
        <v>SI</v>
      </c>
      <c r="N18" s="7" t="str">
        <f>+IF('5'!F18&gt;1,"SI","NO")</f>
        <v>SI</v>
      </c>
      <c r="O18" s="7" t="str">
        <f>+IF('5'!F19&gt;1,"SI","NO")</f>
        <v>SI</v>
      </c>
      <c r="P18" s="7" t="str">
        <f>+IF('5'!F20&gt;1,"SI","NO")</f>
        <v>NO</v>
      </c>
      <c r="Q18" s="7" t="str">
        <f>+IF('5'!F21&gt;1,"SI","NO")</f>
        <v>NO</v>
      </c>
      <c r="R18" s="7" t="str">
        <f>+IF('5'!F22&gt;1,"SI","NO")</f>
        <v>SI</v>
      </c>
      <c r="S18" s="7" t="str">
        <f>+IF('5'!F23&gt;1,"SI","NO")</f>
        <v>SI</v>
      </c>
      <c r="T18" s="7" t="str">
        <f>+IF('5'!F24&gt;1,"SI","NO")</f>
        <v>SI</v>
      </c>
      <c r="U18" s="7" t="str">
        <f>+IF('5'!F25&gt;1,"SI","NO")</f>
        <v>SI</v>
      </c>
      <c r="V18" s="7" t="str">
        <f>+IF('5'!F26&gt;1,"SI","NO")</f>
        <v>SI</v>
      </c>
      <c r="W18" s="7" t="str">
        <f>+IF('5'!F27&gt;1,"SI","NO")</f>
        <v>NO</v>
      </c>
      <c r="X18" s="7" t="str">
        <f>+IF('5'!F28&gt;1,"SI","NO")</f>
        <v>NO</v>
      </c>
      <c r="Y18" s="7" t="str">
        <f>+IF('5'!F29&gt;1,"SI","NO")</f>
        <v>SI</v>
      </c>
      <c r="Z18" s="7" t="str">
        <f>+IF('5'!F30&gt;1,"SI","NO")</f>
        <v>NO</v>
      </c>
      <c r="AA18" s="7" t="str">
        <f>+IF('5'!F31&gt;1,"SI","NO")</f>
        <v>NO</v>
      </c>
      <c r="AB18" s="7" t="str">
        <f>+IF('5'!F32&gt;1,"SI","NO")</f>
        <v>NO</v>
      </c>
      <c r="AC18" s="7" t="str">
        <f>+IF('5'!F33&gt;1,"SI","NO")</f>
        <v>NO</v>
      </c>
      <c r="AD18" s="7" t="str">
        <f>+IF('5'!F34&gt;1,"SI","NO")</f>
        <v>NO</v>
      </c>
      <c r="AE18" s="7" t="str">
        <f>+IF('5'!F35&gt;1,"SI","NO")</f>
        <v>NO</v>
      </c>
      <c r="AF18" s="7" t="str">
        <f>+IF('5'!F36&gt;1,"SI","NO")</f>
        <v>NO</v>
      </c>
      <c r="AG18" s="7" t="str">
        <f>+IF('5'!F37&gt;1,"SI","NO")</f>
        <v>NO</v>
      </c>
      <c r="AH18" s="7" t="str">
        <f>+IF('5'!F38&gt;1,"SI","NO")</f>
        <v>NO</v>
      </c>
      <c r="AI18" s="7" t="str">
        <f>+IF('5'!F39&gt;1,"SI","NO")</f>
        <v>NO</v>
      </c>
      <c r="AJ18" s="7"/>
      <c r="AK18" s="7">
        <f t="shared" si="0"/>
        <v>12</v>
      </c>
      <c r="AL18" s="9">
        <f>+AK18/$AA$5*E18</f>
        <v>4999.090909090909</v>
      </c>
      <c r="AM18" s="9">
        <f t="shared" si="1"/>
        <v>10836.706831363645</v>
      </c>
    </row>
    <row r="19" spans="1:39" ht="19.95" customHeight="1" x14ac:dyDescent="0.3">
      <c r="A19" s="7">
        <v>6</v>
      </c>
      <c r="B19" s="5" t="s">
        <v>32</v>
      </c>
      <c r="C19" s="5" t="s">
        <v>33</v>
      </c>
      <c r="D19" s="19">
        <v>46119</v>
      </c>
      <c r="E19" s="9">
        <v>8485</v>
      </c>
      <c r="F19" s="7" t="str">
        <f>+IF('6'!F10&gt;1,"SI","NO")</f>
        <v>SI</v>
      </c>
      <c r="G19" s="7" t="str">
        <f>+IF('6'!F11&gt;1,"SI","NO")</f>
        <v>SI</v>
      </c>
      <c r="H19" s="7" t="str">
        <f>+IF('6'!F12&gt;1,"SI","NO")</f>
        <v>NO</v>
      </c>
      <c r="I19" s="7" t="str">
        <f>+IF('6'!F13&gt;1,"SI","NO")</f>
        <v>NO</v>
      </c>
      <c r="J19" s="7" t="str">
        <f>+IF('6'!F14&gt;1,"SI","NO")</f>
        <v>NO</v>
      </c>
      <c r="K19" s="7" t="str">
        <f>+IF('6'!F15&gt;1,"SI","NO")</f>
        <v>SI</v>
      </c>
      <c r="L19" s="7" t="str">
        <f>+IF('6'!F16&gt;1,"SI","NO")</f>
        <v>SI</v>
      </c>
      <c r="M19" s="7" t="str">
        <f>+IF('6'!F17&gt;1,"SI","NO")</f>
        <v>SI</v>
      </c>
      <c r="N19" s="7" t="str">
        <f>+IF('6'!F18&gt;1,"SI","NO")</f>
        <v>SI</v>
      </c>
      <c r="O19" s="7" t="str">
        <f>+IF('6'!F19&gt;1,"SI","NO")</f>
        <v>SI</v>
      </c>
      <c r="P19" s="7" t="str">
        <f>+IF('6'!F20&gt;1,"SI","NO")</f>
        <v>NO</v>
      </c>
      <c r="Q19" s="7" t="str">
        <f>+IF('6'!F21&gt;1,"SI","NO")</f>
        <v>NO</v>
      </c>
      <c r="R19" s="7" t="str">
        <f>+IF('6'!F22&gt;1,"SI","NO")</f>
        <v>SI</v>
      </c>
      <c r="S19" s="7" t="str">
        <f>+IF('6'!F23&gt;1,"SI","NO")</f>
        <v>SI</v>
      </c>
      <c r="T19" s="7" t="str">
        <f>+IF('6'!F24&gt;1,"SI","NO")</f>
        <v>SI</v>
      </c>
      <c r="U19" s="7" t="str">
        <f>+IF('6'!F25&gt;1,"SI","NO")</f>
        <v>SI</v>
      </c>
      <c r="V19" s="7" t="str">
        <f>+IF('6'!F26&gt;1,"SI","NO")</f>
        <v>SI</v>
      </c>
      <c r="W19" s="7" t="str">
        <f>+IF('6'!F27&gt;1,"SI","NO")</f>
        <v>SI</v>
      </c>
      <c r="X19" s="7" t="str">
        <f>+IF('6'!F28&gt;1,"SI","NO")</f>
        <v>NO</v>
      </c>
      <c r="Y19" s="7" t="str">
        <f>+IF('6'!F29&gt;1,"SI","NO")</f>
        <v>SI</v>
      </c>
      <c r="Z19" s="7" t="str">
        <f>+IF('6'!F30&gt;1,"SI","NO")</f>
        <v>NO</v>
      </c>
      <c r="AA19" s="7" t="str">
        <f>+IF('6'!F31&gt;1,"SI","NO")</f>
        <v>NO</v>
      </c>
      <c r="AB19" s="7" t="str">
        <f>+IF('6'!F32&gt;1,"SI","NO")</f>
        <v>NO</v>
      </c>
      <c r="AC19" s="7" t="str">
        <f>+IF('6'!F33&gt;1,"SI","NO")</f>
        <v>NO</v>
      </c>
      <c r="AD19" s="7" t="str">
        <f>+IF('6'!F34&gt;1,"SI","NO")</f>
        <v>NO</v>
      </c>
      <c r="AE19" s="7" t="str">
        <f>+IF('6'!F35&gt;1,"SI","NO")</f>
        <v>NO</v>
      </c>
      <c r="AF19" s="7" t="str">
        <f>+IF('6'!F36&gt;1,"SI","NO")</f>
        <v>NO</v>
      </c>
      <c r="AG19" s="7" t="str">
        <f>+IF('6'!F37&gt;1,"SI","NO")</f>
        <v>NO</v>
      </c>
      <c r="AH19" s="7" t="str">
        <f>+IF('6'!F38&gt;1,"SI","NO")</f>
        <v>NO</v>
      </c>
      <c r="AI19" s="7" t="str">
        <f>+IF('6'!F39&gt;1,"SI","NO")</f>
        <v>NO</v>
      </c>
      <c r="AJ19" s="7"/>
      <c r="AK19" s="7">
        <f t="shared" si="0"/>
        <v>14</v>
      </c>
      <c r="AL19" s="9">
        <f>+AK19/$AA$5*E19</f>
        <v>5399.545454545454</v>
      </c>
      <c r="AM19" s="9">
        <f t="shared" si="1"/>
        <v>11704.786365681826</v>
      </c>
    </row>
    <row r="20" spans="1:39" ht="19.95" customHeight="1" x14ac:dyDescent="0.3">
      <c r="A20" s="7">
        <v>7</v>
      </c>
      <c r="B20" s="5" t="s">
        <v>34</v>
      </c>
      <c r="C20" s="5" t="s">
        <v>35</v>
      </c>
      <c r="D20" s="19">
        <v>46113</v>
      </c>
      <c r="E20" s="9">
        <v>8485</v>
      </c>
      <c r="F20" s="7" t="str">
        <f>+IF('7'!F10&gt;1,"SI","NO")</f>
        <v>NO</v>
      </c>
      <c r="G20" s="7" t="str">
        <f>+IF('7'!F11&gt;1,"SI","NO")</f>
        <v>NO</v>
      </c>
      <c r="H20" s="7" t="str">
        <f>+IF('7'!F12&gt;1,"SI","NO")</f>
        <v>NO</v>
      </c>
      <c r="I20" s="7" t="str">
        <f>+IF('7'!F13&gt;1,"SI","NO")</f>
        <v>NO</v>
      </c>
      <c r="J20" s="7" t="str">
        <f>+IF('7'!F14&gt;1,"SI","NO")</f>
        <v>NO</v>
      </c>
      <c r="K20" s="7" t="str">
        <f>+IF('7'!F15&gt;1,"SI","NO")</f>
        <v>NO</v>
      </c>
      <c r="L20" s="7" t="str">
        <f>+IF('7'!F16&gt;1,"SI","NO")</f>
        <v>SI</v>
      </c>
      <c r="M20" s="7" t="str">
        <f>+IF('7'!F17&gt;1,"SI","NO")</f>
        <v>SI</v>
      </c>
      <c r="N20" s="7" t="str">
        <f>+IF('7'!F18&gt;1,"SI","NO")</f>
        <v>SI</v>
      </c>
      <c r="O20" s="7" t="str">
        <f>+IF('7'!F19&gt;1,"SI","NO")</f>
        <v>SI</v>
      </c>
      <c r="P20" s="7" t="str">
        <f>+IF('7'!F20&gt;1,"SI","NO")</f>
        <v>NO</v>
      </c>
      <c r="Q20" s="7" t="str">
        <f>+IF('7'!F21&gt;1,"SI","NO")</f>
        <v>NO</v>
      </c>
      <c r="R20" s="7" t="str">
        <f>+IF('7'!F22&gt;1,"SI","NO")</f>
        <v>SI</v>
      </c>
      <c r="S20" s="7" t="str">
        <f>+IF('7'!F23&gt;1,"SI","NO")</f>
        <v>SI</v>
      </c>
      <c r="T20" s="7" t="str">
        <f>+IF('7'!F24&gt;1,"SI","NO")</f>
        <v>SI</v>
      </c>
      <c r="U20" s="7" t="str">
        <f>+IF('7'!F25&gt;1,"SI","NO")</f>
        <v>SI</v>
      </c>
      <c r="V20" s="7" t="str">
        <f>+IF('7'!F26&gt;1,"SI","NO")</f>
        <v>SI</v>
      </c>
      <c r="W20" s="7" t="str">
        <f>+IF('7'!F27&gt;1,"SI","NO")</f>
        <v>NO</v>
      </c>
      <c r="X20" s="7" t="str">
        <f>+IF('7'!F28&gt;1,"SI","NO")</f>
        <v>NO</v>
      </c>
      <c r="Y20" s="7" t="str">
        <f>+IF('7'!F29&gt;1,"SI","NO")</f>
        <v>SI</v>
      </c>
      <c r="Z20" s="7" t="str">
        <f>+IF('7'!F30&gt;1,"SI","NO")</f>
        <v>NO</v>
      </c>
      <c r="AA20" s="7" t="str">
        <f>+IF('7'!F31&gt;1,"SI","NO")</f>
        <v>NO</v>
      </c>
      <c r="AB20" s="7" t="str">
        <f>+IF('7'!F32&gt;1,"SI","NO")</f>
        <v>NO</v>
      </c>
      <c r="AC20" s="7" t="str">
        <f>+IF('7'!F33&gt;1,"SI","NO")</f>
        <v>NO</v>
      </c>
      <c r="AD20" s="7" t="str">
        <f>+IF('7'!F34&gt;1,"SI","NO")</f>
        <v>NO</v>
      </c>
      <c r="AE20" s="7" t="str">
        <f>+IF('7'!F35&gt;1,"SI","NO")</f>
        <v>NO</v>
      </c>
      <c r="AF20" s="7" t="str">
        <f>+IF('7'!F36&gt;1,"SI","NO")</f>
        <v>NO</v>
      </c>
      <c r="AG20" s="7" t="str">
        <f>+IF('7'!F37&gt;1,"SI","NO")</f>
        <v>NO</v>
      </c>
      <c r="AH20" s="7" t="str">
        <f>+IF('7'!F38&gt;1,"SI","NO")</f>
        <v>NO</v>
      </c>
      <c r="AI20" s="7" t="str">
        <f>+IF('7'!F39&gt;1,"SI","NO")</f>
        <v>NO</v>
      </c>
      <c r="AJ20" s="7"/>
      <c r="AK20" s="7">
        <f t="shared" si="0"/>
        <v>10</v>
      </c>
      <c r="AL20" s="9">
        <f>+AK20/$AA$5*E20</f>
        <v>3856.8181818181815</v>
      </c>
      <c r="AM20" s="9">
        <f t="shared" si="1"/>
        <v>8360.5616897727341</v>
      </c>
    </row>
    <row r="21" spans="1:39" ht="19.95" customHeight="1" x14ac:dyDescent="0.3">
      <c r="A21" s="7">
        <v>8</v>
      </c>
      <c r="B21" s="5" t="s">
        <v>36</v>
      </c>
      <c r="C21" s="5" t="s">
        <v>37</v>
      </c>
      <c r="D21" s="19">
        <v>46113</v>
      </c>
      <c r="E21" s="9">
        <v>9165</v>
      </c>
      <c r="F21" s="7" t="str">
        <f>+IF('8'!F10&gt;1,"SI","NO")</f>
        <v>SI</v>
      </c>
      <c r="G21" s="7" t="str">
        <f>+IF('8'!F11&gt;1,"SI","NO")</f>
        <v>SI</v>
      </c>
      <c r="H21" s="7" t="str">
        <f>+IF('8'!F12&gt;1,"SI","NO")</f>
        <v>NO</v>
      </c>
      <c r="I21" s="7" t="str">
        <f>+IF('8'!F13&gt;1,"SI","NO")</f>
        <v>NO</v>
      </c>
      <c r="J21" s="7" t="str">
        <f>+IF('8'!F14&gt;1,"SI","NO")</f>
        <v>NO</v>
      </c>
      <c r="K21" s="7" t="str">
        <f>+IF('8'!F15&gt;1,"SI","NO")</f>
        <v>SI</v>
      </c>
      <c r="L21" s="7" t="str">
        <f>+IF('8'!F16&gt;1,"SI","NO")</f>
        <v>SI</v>
      </c>
      <c r="M21" s="7" t="str">
        <f>+IF('8'!F17&gt;1,"SI","NO")</f>
        <v>SI</v>
      </c>
      <c r="N21" s="7" t="str">
        <f>+IF('8'!F18&gt;1,"SI","NO")</f>
        <v>SI</v>
      </c>
      <c r="O21" s="7" t="str">
        <f>+IF('8'!F19&gt;1,"SI","NO")</f>
        <v>SI</v>
      </c>
      <c r="P21" s="7" t="str">
        <f>+IF('8'!F20&gt;1,"SI","NO")</f>
        <v>NO</v>
      </c>
      <c r="Q21" s="7" t="str">
        <f>+IF('8'!F21&gt;1,"SI","NO")</f>
        <v>NO</v>
      </c>
      <c r="R21" s="7" t="str">
        <f>+IF('8'!F22&gt;1,"SI","NO")</f>
        <v>SI</v>
      </c>
      <c r="S21" s="7" t="str">
        <f>+IF('8'!F23&gt;1,"SI","NO")</f>
        <v>NO</v>
      </c>
      <c r="T21" s="7" t="str">
        <f>+IF('8'!F24&gt;1,"SI","NO")</f>
        <v>SI</v>
      </c>
      <c r="U21" s="7" t="str">
        <f>+IF('8'!F25&gt;1,"SI","NO")</f>
        <v>SI</v>
      </c>
      <c r="V21" s="7" t="str">
        <f>+IF('8'!F26&gt;1,"SI","NO")</f>
        <v>SI</v>
      </c>
      <c r="W21" s="7" t="str">
        <f>+IF('8'!F27&gt;1,"SI","NO")</f>
        <v>NO</v>
      </c>
      <c r="X21" s="7" t="str">
        <f>+IF('8'!F28&gt;1,"SI","NO")</f>
        <v>NO</v>
      </c>
      <c r="Y21" s="7" t="str">
        <f>+IF('8'!F29&gt;1,"SI","NO")</f>
        <v>SI</v>
      </c>
      <c r="Z21" s="7" t="str">
        <f>+IF('8'!F30&gt;1,"SI","NO")</f>
        <v>NO</v>
      </c>
      <c r="AA21" s="7" t="str">
        <f>+IF('8'!F31&gt;1,"SI","NO")</f>
        <v>NO</v>
      </c>
      <c r="AB21" s="7" t="str">
        <f>+IF('8'!F32&gt;1,"SI","NO")</f>
        <v>NO</v>
      </c>
      <c r="AC21" s="7" t="str">
        <f>+IF('8'!F33&gt;1,"SI","NO")</f>
        <v>NO</v>
      </c>
      <c r="AD21" s="7" t="str">
        <f>+IF('8'!F34&gt;1,"SI","NO")</f>
        <v>NO</v>
      </c>
      <c r="AE21" s="7" t="str">
        <f>+IF('8'!F35&gt;1,"SI","NO")</f>
        <v>NO</v>
      </c>
      <c r="AF21" s="7" t="str">
        <f>+IF('8'!F36&gt;1,"SI","NO")</f>
        <v>NO</v>
      </c>
      <c r="AG21" s="7" t="str">
        <f>+IF('8'!F37&gt;1,"SI","NO")</f>
        <v>NO</v>
      </c>
      <c r="AH21" s="7" t="str">
        <f>+IF('8'!F38&gt;1,"SI","NO")</f>
        <v>NO</v>
      </c>
      <c r="AI21" s="7" t="str">
        <f>+IF('8'!F39&gt;1,"SI","NO")</f>
        <v>NO</v>
      </c>
      <c r="AJ21" s="7"/>
      <c r="AK21" s="7">
        <f t="shared" si="0"/>
        <v>12</v>
      </c>
      <c r="AL21" s="9">
        <f>+AK21/$AA$5*E21</f>
        <v>4999.090909090909</v>
      </c>
      <c r="AM21" s="9">
        <f t="shared" si="1"/>
        <v>10836.706831363645</v>
      </c>
    </row>
    <row r="22" spans="1:39" ht="19.95" customHeight="1" x14ac:dyDescent="0.3">
      <c r="A22" s="7">
        <v>9</v>
      </c>
      <c r="B22" s="5" t="s">
        <v>38</v>
      </c>
      <c r="C22" s="5" t="s">
        <v>39</v>
      </c>
      <c r="D22" s="19">
        <v>46113</v>
      </c>
      <c r="E22" s="9">
        <v>9165</v>
      </c>
      <c r="F22" s="7" t="str">
        <f>+IF('9'!F10&gt;1,"SI","NO")</f>
        <v>SI</v>
      </c>
      <c r="G22" s="7" t="str">
        <f>+IF('9'!F11&gt;1,"SI","NO")</f>
        <v>SI</v>
      </c>
      <c r="H22" s="7" t="str">
        <f>+IF('9'!F12&gt;1,"SI","NO")</f>
        <v>NO</v>
      </c>
      <c r="I22" s="7" t="str">
        <f>+IF('9'!F13&gt;1,"SI","NO")</f>
        <v>NO</v>
      </c>
      <c r="J22" s="7" t="str">
        <f>+IF('9'!F14&gt;1,"SI","NO")</f>
        <v>NO</v>
      </c>
      <c r="K22" s="7" t="str">
        <f>+IF('9'!F15&gt;1,"SI","NO")</f>
        <v>SI</v>
      </c>
      <c r="L22" s="7" t="str">
        <f>+IF('9'!F16&gt;1,"SI","NO")</f>
        <v>SI</v>
      </c>
      <c r="M22" s="7" t="str">
        <f>+IF('9'!F17&gt;1,"SI","NO")</f>
        <v>SI</v>
      </c>
      <c r="N22" s="7" t="str">
        <f>+IF('9'!F18&gt;1,"SI","NO")</f>
        <v>SI</v>
      </c>
      <c r="O22" s="7" t="str">
        <f>+IF('9'!F19&gt;1,"SI","NO")</f>
        <v>SI</v>
      </c>
      <c r="P22" s="7" t="str">
        <f>+IF('9'!F20&gt;1,"SI","NO")</f>
        <v>NO</v>
      </c>
      <c r="Q22" s="7" t="str">
        <f>+IF('9'!F21&gt;1,"SI","NO")</f>
        <v>NO</v>
      </c>
      <c r="R22" s="7" t="str">
        <f>+IF('9'!F22&gt;1,"SI","NO")</f>
        <v>SI</v>
      </c>
      <c r="S22" s="7" t="str">
        <f>+IF('9'!F23&gt;1,"SI","NO")</f>
        <v>SI</v>
      </c>
      <c r="T22" s="7" t="str">
        <f>+IF('9'!F24&gt;1,"SI","NO")</f>
        <v>SI</v>
      </c>
      <c r="U22" s="7" t="str">
        <f>+IF('9'!F25&gt;1,"SI","NO")</f>
        <v>SI</v>
      </c>
      <c r="V22" s="7" t="str">
        <f>+IF('9'!F26&gt;1,"SI","NO")</f>
        <v>SI</v>
      </c>
      <c r="W22" s="7" t="str">
        <f>+IF('9'!F27&gt;1,"SI","NO")</f>
        <v>NO</v>
      </c>
      <c r="X22" s="7" t="str">
        <f>+IF('9'!F28&gt;1,"SI","NO")</f>
        <v>NO</v>
      </c>
      <c r="Y22" s="7" t="str">
        <f>+IF('9'!F29&gt;1,"SI","NO")</f>
        <v>SI</v>
      </c>
      <c r="Z22" s="7" t="str">
        <f>+IF('9'!F30&gt;1,"SI","NO")</f>
        <v>NO</v>
      </c>
      <c r="AA22" s="7" t="str">
        <f>+IF('9'!F31&gt;1,"SI","NO")</f>
        <v>NO</v>
      </c>
      <c r="AB22" s="7" t="str">
        <f>+IF('9'!F32&gt;1,"SI","NO")</f>
        <v>NO</v>
      </c>
      <c r="AC22" s="7" t="str">
        <f>+IF('9'!F33&gt;1,"SI","NO")</f>
        <v>NO</v>
      </c>
      <c r="AD22" s="7" t="str">
        <f>+IF('9'!F34&gt;1,"SI","NO")</f>
        <v>NO</v>
      </c>
      <c r="AE22" s="7" t="str">
        <f>+IF('9'!F35&gt;1,"SI","NO")</f>
        <v>NO</v>
      </c>
      <c r="AF22" s="7" t="str">
        <f>+IF('9'!F36&gt;1,"SI","NO")</f>
        <v>NO</v>
      </c>
      <c r="AG22" s="7" t="str">
        <f>+IF('9'!F37&gt;1,"SI","NO")</f>
        <v>NO</v>
      </c>
      <c r="AH22" s="7" t="str">
        <f>+IF('9'!F38&gt;1,"SI","NO")</f>
        <v>NO</v>
      </c>
      <c r="AI22" s="7" t="str">
        <f>+IF('9'!F39&gt;1,"SI","NO")</f>
        <v>NO</v>
      </c>
      <c r="AJ22" s="7"/>
      <c r="AK22" s="7">
        <f t="shared" si="0"/>
        <v>13</v>
      </c>
      <c r="AL22" s="9">
        <f>+AK22/$AA$5*E22</f>
        <v>5415.681818181818</v>
      </c>
      <c r="AM22" s="9">
        <f t="shared" si="1"/>
        <v>11739.765733977283</v>
      </c>
    </row>
    <row r="23" spans="1:39" ht="19.95" customHeight="1" x14ac:dyDescent="0.3">
      <c r="A23" s="7">
        <v>10</v>
      </c>
      <c r="B23" s="5" t="s">
        <v>40</v>
      </c>
      <c r="C23" s="5" t="s">
        <v>41</v>
      </c>
      <c r="D23" s="19">
        <v>46113</v>
      </c>
      <c r="E23" s="9">
        <v>16240</v>
      </c>
      <c r="F23" s="7" t="str">
        <f>+IF('10'!F10&gt;1,"SI","NO")</f>
        <v>SI</v>
      </c>
      <c r="G23" s="7" t="str">
        <f>+IF('10'!F11&gt;1,"SI","NO")</f>
        <v>SI</v>
      </c>
      <c r="H23" s="7" t="str">
        <f>+IF('10'!F12&gt;1,"SI","NO")</f>
        <v>NO</v>
      </c>
      <c r="I23" s="7" t="str">
        <f>+IF('10'!F13&gt;1,"SI","NO")</f>
        <v>NO</v>
      </c>
      <c r="J23" s="7" t="str">
        <f>+IF('10'!F14&gt;1,"SI","NO")</f>
        <v>NO</v>
      </c>
      <c r="K23" s="7" t="str">
        <f>+IF('10'!F15&gt;1,"SI","NO")</f>
        <v>SI</v>
      </c>
      <c r="L23" s="7" t="str">
        <f>+IF('10'!F16&gt;1,"SI","NO")</f>
        <v>SI</v>
      </c>
      <c r="M23" s="7" t="str">
        <f>+IF('10'!F17&gt;1,"SI","NO")</f>
        <v>SI</v>
      </c>
      <c r="N23" s="7" t="str">
        <f>+IF('10'!F18&gt;1,"SI","NO")</f>
        <v>SI</v>
      </c>
      <c r="O23" s="7" t="str">
        <f>+IF('10'!F19&gt;1,"SI","NO")</f>
        <v>SI</v>
      </c>
      <c r="P23" s="7" t="str">
        <f>+IF('10'!F20&gt;1,"SI","NO")</f>
        <v>NO</v>
      </c>
      <c r="Q23" s="7" t="str">
        <f>+IF('10'!F21&gt;1,"SI","NO")</f>
        <v>NO</v>
      </c>
      <c r="R23" s="7" t="str">
        <f>+IF('10'!F22&gt;1,"SI","NO")</f>
        <v>SI</v>
      </c>
      <c r="S23" s="7" t="str">
        <f>+IF('10'!F23&gt;1,"SI","NO")</f>
        <v>SI</v>
      </c>
      <c r="T23" s="7" t="str">
        <f>+IF('10'!F24&gt;1,"SI","NO")</f>
        <v>SI</v>
      </c>
      <c r="U23" s="7" t="str">
        <f>+IF('10'!F25&gt;1,"SI","NO")</f>
        <v>SI</v>
      </c>
      <c r="V23" s="7" t="str">
        <f>+IF('10'!F26&gt;1,"SI","NO")</f>
        <v>SI</v>
      </c>
      <c r="W23" s="7" t="str">
        <f>+IF('10'!F27&gt;1,"SI","NO")</f>
        <v>NO</v>
      </c>
      <c r="X23" s="7" t="str">
        <f>+IF('10'!F28&gt;1,"SI","NO")</f>
        <v>NO</v>
      </c>
      <c r="Y23" s="7" t="str">
        <f>+IF('10'!F29&gt;1,"SI","NO")</f>
        <v>SI</v>
      </c>
      <c r="Z23" s="7" t="str">
        <f>+IF('10'!F30&gt;1,"SI","NO")</f>
        <v>NO</v>
      </c>
      <c r="AA23" s="7" t="str">
        <f>+IF('10'!F31&gt;1,"SI","NO")</f>
        <v>NO</v>
      </c>
      <c r="AB23" s="7" t="str">
        <f>+IF('10'!F32&gt;1,"SI","NO")</f>
        <v>NO</v>
      </c>
      <c r="AC23" s="7" t="str">
        <f>+IF('10'!F33&gt;1,"SI","NO")</f>
        <v>NO</v>
      </c>
      <c r="AD23" s="7" t="str">
        <f>+IF('10'!F34&gt;1,"SI","NO")</f>
        <v>NO</v>
      </c>
      <c r="AE23" s="7" t="str">
        <f>+IF('10'!F35&gt;1,"SI","NO")</f>
        <v>NO</v>
      </c>
      <c r="AF23" s="7" t="str">
        <f>+IF('10'!F36&gt;1,"SI","NO")</f>
        <v>NO</v>
      </c>
      <c r="AG23" s="7" t="str">
        <f>+IF('10'!F37&gt;1,"SI","NO")</f>
        <v>NO</v>
      </c>
      <c r="AH23" s="7" t="str">
        <f>+IF('10'!F38&gt;1,"SI","NO")</f>
        <v>NO</v>
      </c>
      <c r="AI23" s="7" t="str">
        <f>+IF('10'!F39&gt;1,"SI","NO")</f>
        <v>NO</v>
      </c>
      <c r="AJ23" s="7"/>
      <c r="AK23" s="7">
        <f t="shared" si="0"/>
        <v>13</v>
      </c>
      <c r="AL23" s="9">
        <f>+AK23/$AA$5*E23</f>
        <v>9596.363636363636</v>
      </c>
      <c r="AM23" s="9">
        <f t="shared" si="1"/>
        <v>20802.378125454561</v>
      </c>
    </row>
    <row r="24" spans="1:39" ht="19.95" customHeight="1" x14ac:dyDescent="0.3">
      <c r="A24" s="7">
        <v>11</v>
      </c>
      <c r="B24" s="5" t="s">
        <v>42</v>
      </c>
      <c r="C24" s="5" t="s">
        <v>41</v>
      </c>
      <c r="D24" s="19">
        <v>46113</v>
      </c>
      <c r="E24" s="9">
        <v>12483</v>
      </c>
      <c r="F24" s="7" t="str">
        <f>+IF('11'!F10&gt;1,"SI","NO")</f>
        <v>SI</v>
      </c>
      <c r="G24" s="7" t="str">
        <f>+IF('11'!F11&gt;1,"SI","NO")</f>
        <v>NO</v>
      </c>
      <c r="H24" s="7" t="str">
        <f>+IF('11'!F12&gt;1,"SI","NO")</f>
        <v>NO</v>
      </c>
      <c r="I24" s="7" t="str">
        <f>+IF('11'!F13&gt;1,"SI","NO")</f>
        <v>NO</v>
      </c>
      <c r="J24" s="7" t="str">
        <f>+IF('11'!F14&gt;1,"SI","NO")</f>
        <v>NO</v>
      </c>
      <c r="K24" s="7" t="str">
        <f>+IF('11'!F15&gt;1,"SI","NO")</f>
        <v>SI</v>
      </c>
      <c r="L24" s="7" t="str">
        <f>+IF('11'!F16&gt;1,"SI","NO")</f>
        <v>SI</v>
      </c>
      <c r="M24" s="7" t="str">
        <f>+IF('11'!F17&gt;1,"SI","NO")</f>
        <v>SI</v>
      </c>
      <c r="N24" s="7" t="str">
        <f>+IF('11'!F18&gt;1,"SI","NO")</f>
        <v>SI</v>
      </c>
      <c r="O24" s="7" t="str">
        <f>+IF('11'!F19&gt;1,"SI","NO")</f>
        <v>SI</v>
      </c>
      <c r="P24" s="7" t="str">
        <f>+IF('11'!F20&gt;1,"SI","NO")</f>
        <v>NO</v>
      </c>
      <c r="Q24" s="7" t="str">
        <f>+IF('11'!F21&gt;1,"SI","NO")</f>
        <v>NO</v>
      </c>
      <c r="R24" s="7" t="str">
        <f>+IF('11'!F22&gt;1,"SI","NO")</f>
        <v>SI</v>
      </c>
      <c r="S24" s="7" t="str">
        <f>+IF('11'!F23&gt;1,"SI","NO")</f>
        <v>SI</v>
      </c>
      <c r="T24" s="7" t="str">
        <f>+IF('11'!F24&gt;1,"SI","NO")</f>
        <v>SI</v>
      </c>
      <c r="U24" s="7" t="str">
        <f>+IF('11'!F25&gt;1,"SI","NO")</f>
        <v>SI</v>
      </c>
      <c r="V24" s="7" t="str">
        <f>+IF('11'!F26&gt;1,"SI","NO")</f>
        <v>SI</v>
      </c>
      <c r="W24" s="7" t="str">
        <f>+IF('11'!F27&gt;1,"SI","NO")</f>
        <v>NO</v>
      </c>
      <c r="X24" s="7" t="str">
        <f>+IF('11'!F28&gt;1,"SI","NO")</f>
        <v>NO</v>
      </c>
      <c r="Y24" s="7" t="str">
        <f>+IF('11'!F29&gt;1,"SI","NO")</f>
        <v>SI</v>
      </c>
      <c r="Z24" s="7" t="str">
        <f>+IF('11'!F30&gt;1,"SI","NO")</f>
        <v>NO</v>
      </c>
      <c r="AA24" s="7" t="str">
        <f>+IF('11'!F31&gt;1,"SI","NO")</f>
        <v>NO</v>
      </c>
      <c r="AB24" s="7" t="str">
        <f>+IF('11'!F32&gt;1,"SI","NO")</f>
        <v>NO</v>
      </c>
      <c r="AC24" s="7" t="str">
        <f>+IF('11'!F33&gt;1,"SI","NO")</f>
        <v>NO</v>
      </c>
      <c r="AD24" s="7" t="str">
        <f>+IF('11'!F34&gt;1,"SI","NO")</f>
        <v>NO</v>
      </c>
      <c r="AE24" s="7" t="str">
        <f>+IF('11'!F35&gt;1,"SI","NO")</f>
        <v>NO</v>
      </c>
      <c r="AF24" s="7" t="str">
        <f>+IF('11'!F36&gt;1,"SI","NO")</f>
        <v>NO</v>
      </c>
      <c r="AG24" s="7" t="str">
        <f>+IF('11'!F37&gt;1,"SI","NO")</f>
        <v>NO</v>
      </c>
      <c r="AH24" s="7" t="str">
        <f>+IF('11'!F38&gt;1,"SI","NO")</f>
        <v>NO</v>
      </c>
      <c r="AI24" s="7" t="str">
        <f>+IF('11'!F39&gt;1,"SI","NO")</f>
        <v>NO</v>
      </c>
      <c r="AJ24" s="7"/>
      <c r="AK24" s="7">
        <f t="shared" si="0"/>
        <v>12</v>
      </c>
      <c r="AL24" s="9">
        <f>+AK24/$AA$5*E24</f>
        <v>6808.9090909090901</v>
      </c>
      <c r="AM24" s="9">
        <f t="shared" si="1"/>
        <v>14759.913952636374</v>
      </c>
    </row>
    <row r="25" spans="1:39" ht="19.95" customHeight="1" x14ac:dyDescent="0.3">
      <c r="A25" s="7">
        <v>12</v>
      </c>
      <c r="B25" s="5" t="s">
        <v>43</v>
      </c>
      <c r="C25" s="5" t="s">
        <v>44</v>
      </c>
      <c r="D25" s="19">
        <v>46113</v>
      </c>
      <c r="E25" s="9">
        <v>3808</v>
      </c>
      <c r="F25" s="7" t="str">
        <f>+IF('12'!F10&gt;1,"SI","NO")</f>
        <v>SI</v>
      </c>
      <c r="G25" s="7" t="str">
        <f>+IF('12'!F11&gt;1,"SI","NO")</f>
        <v>SI</v>
      </c>
      <c r="H25" s="7" t="str">
        <f>+IF('12'!F12&gt;1,"SI","NO")</f>
        <v>NO</v>
      </c>
      <c r="I25" s="7" t="str">
        <f>+IF('12'!F13&gt;1,"SI","NO")</f>
        <v>NO</v>
      </c>
      <c r="J25" s="7" t="str">
        <f>+IF('12'!F14&gt;1,"SI","NO")</f>
        <v>NO</v>
      </c>
      <c r="K25" s="7" t="str">
        <f>+IF('12'!F15&gt;1,"SI","NO")</f>
        <v>SI</v>
      </c>
      <c r="L25" s="7" t="str">
        <f>+IF('12'!F16&gt;1,"SI","NO")</f>
        <v>SI</v>
      </c>
      <c r="M25" s="7" t="str">
        <f>+IF('12'!F17&gt;1,"SI","NO")</f>
        <v>SI</v>
      </c>
      <c r="N25" s="7" t="str">
        <f>+IF('12'!F18&gt;1,"SI","NO")</f>
        <v>SI</v>
      </c>
      <c r="O25" s="7" t="str">
        <f>+IF('12'!F19&gt;1,"SI","NO")</f>
        <v>SI</v>
      </c>
      <c r="P25" s="7" t="str">
        <f>+IF('12'!F20&gt;1,"SI","NO")</f>
        <v>SI</v>
      </c>
      <c r="Q25" s="7" t="str">
        <f>+IF('12'!F21&gt;1,"SI","NO")</f>
        <v>NO</v>
      </c>
      <c r="R25" s="7" t="str">
        <f>+IF('12'!F22&gt;1,"SI","NO")</f>
        <v>SI</v>
      </c>
      <c r="S25" s="7" t="str">
        <f>+IF('12'!F23&gt;1,"SI","NO")</f>
        <v>SI</v>
      </c>
      <c r="T25" s="7" t="str">
        <f>+IF('12'!F24&gt;1,"SI","NO")</f>
        <v>SI</v>
      </c>
      <c r="U25" s="7" t="str">
        <f>+IF('12'!F25&gt;1,"SI","NO")</f>
        <v>SI</v>
      </c>
      <c r="V25" s="7" t="str">
        <f>+IF('12'!F26&gt;1,"SI","NO")</f>
        <v>SI</v>
      </c>
      <c r="W25" s="7" t="str">
        <f>+IF('12'!F27&gt;1,"SI","NO")</f>
        <v>SI</v>
      </c>
      <c r="X25" s="7" t="str">
        <f>+IF('12'!F28&gt;1,"SI","NO")</f>
        <v>NO</v>
      </c>
      <c r="Y25" s="7" t="str">
        <f>+IF('12'!F29&gt;1,"SI","NO")</f>
        <v>SI</v>
      </c>
      <c r="Z25" s="7" t="str">
        <f>+IF('12'!F30&gt;1,"SI","NO")</f>
        <v>NO</v>
      </c>
      <c r="AA25" s="7" t="str">
        <f>+IF('12'!F31&gt;1,"SI","NO")</f>
        <v>NO</v>
      </c>
      <c r="AB25" s="7" t="str">
        <f>+IF('12'!F32&gt;1,"SI","NO")</f>
        <v>NO</v>
      </c>
      <c r="AC25" s="7" t="str">
        <f>+IF('12'!F33&gt;1,"SI","NO")</f>
        <v>NO</v>
      </c>
      <c r="AD25" s="7" t="str">
        <f>+IF('12'!F34&gt;1,"SI","NO")</f>
        <v>NO</v>
      </c>
      <c r="AE25" s="7" t="str">
        <f>+IF('12'!F35&gt;1,"SI","NO")</f>
        <v>NO</v>
      </c>
      <c r="AF25" s="7" t="str">
        <f>+IF('12'!F36&gt;1,"SI","NO")</f>
        <v>NO</v>
      </c>
      <c r="AG25" s="7" t="str">
        <f>+IF('12'!F37&gt;1,"SI","NO")</f>
        <v>NO</v>
      </c>
      <c r="AH25" s="7" t="str">
        <f>+IF('12'!F38&gt;1,"SI","NO")</f>
        <v>NO</v>
      </c>
      <c r="AI25" s="7" t="str">
        <f>+IF('12'!F39&gt;1,"SI","NO")</f>
        <v>NO</v>
      </c>
      <c r="AJ25" s="7"/>
      <c r="AK25" s="7">
        <f t="shared" si="0"/>
        <v>15</v>
      </c>
      <c r="AL25" s="9">
        <f>+AK25/$AA$5*E25</f>
        <v>2596.363636363636</v>
      </c>
      <c r="AM25" s="9">
        <f t="shared" si="1"/>
        <v>5628.2296254545499</v>
      </c>
    </row>
    <row r="26" spans="1:39" ht="22.2" customHeight="1" x14ac:dyDescent="0.3">
      <c r="AM26" s="10">
        <f>SUM(AM14:AM25)</f>
        <v>129845.48431479555</v>
      </c>
    </row>
    <row r="28" spans="1:39" ht="31.2" customHeight="1" x14ac:dyDescent="0.3">
      <c r="A28" s="31" t="s">
        <v>45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U28" s="31" t="s">
        <v>46</v>
      </c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</row>
    <row r="30" spans="1:39" x14ac:dyDescent="0.3">
      <c r="A30" s="22" t="s">
        <v>13</v>
      </c>
      <c r="B30" s="22" t="s">
        <v>14</v>
      </c>
      <c r="C30" s="22" t="s">
        <v>47</v>
      </c>
      <c r="D30" s="22" t="s">
        <v>48</v>
      </c>
      <c r="E30" s="22" t="s">
        <v>49</v>
      </c>
      <c r="F30" s="22" t="s">
        <v>18</v>
      </c>
      <c r="G30" s="23"/>
      <c r="H30" s="22" t="s">
        <v>50</v>
      </c>
      <c r="I30" s="23"/>
      <c r="J30" s="23"/>
      <c r="K30" s="22" t="s">
        <v>51</v>
      </c>
      <c r="L30" s="23"/>
      <c r="M30" s="23"/>
      <c r="N30" s="22" t="s">
        <v>52</v>
      </c>
      <c r="O30" s="23"/>
      <c r="P30" s="22" t="s">
        <v>21</v>
      </c>
      <c r="Q30" s="23"/>
      <c r="R30" s="23"/>
      <c r="S30" s="23"/>
      <c r="U30" s="22" t="s">
        <v>13</v>
      </c>
      <c r="V30" s="23"/>
      <c r="W30" s="22" t="s">
        <v>47</v>
      </c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2" t="s">
        <v>51</v>
      </c>
      <c r="AK30" s="23"/>
      <c r="AL30" s="22" t="s">
        <v>52</v>
      </c>
      <c r="AM30" s="22" t="s">
        <v>21</v>
      </c>
    </row>
    <row r="31" spans="1:39" x14ac:dyDescent="0.3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</row>
    <row r="32" spans="1:39" ht="14.4" customHeight="1" x14ac:dyDescent="0.3">
      <c r="A32" s="7">
        <v>1</v>
      </c>
      <c r="B32" s="5"/>
      <c r="C32" s="3"/>
      <c r="D32" s="19"/>
      <c r="E32" s="19"/>
      <c r="F32" s="32"/>
      <c r="G32" s="23"/>
      <c r="H32" s="25"/>
      <c r="I32" s="23"/>
      <c r="J32" s="23"/>
      <c r="K32" s="32"/>
      <c r="L32" s="23"/>
      <c r="M32" s="23"/>
      <c r="N32" s="25">
        <f>+K32*H32</f>
        <v>0</v>
      </c>
      <c r="O32" s="23"/>
      <c r="P32" s="33">
        <f>+N32*1.25</f>
        <v>0</v>
      </c>
      <c r="Q32" s="23"/>
      <c r="R32" s="23"/>
      <c r="S32" s="23"/>
      <c r="U32" s="27">
        <v>1</v>
      </c>
      <c r="V32" s="27"/>
      <c r="W32" s="26" t="s">
        <v>53</v>
      </c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7">
        <v>11</v>
      </c>
      <c r="AK32" s="27"/>
      <c r="AL32" s="28">
        <v>785</v>
      </c>
      <c r="AM32" s="29">
        <f>+AL32*AJ32</f>
        <v>8635</v>
      </c>
    </row>
    <row r="33" spans="1:39" x14ac:dyDescent="0.3">
      <c r="A33" s="7">
        <v>2</v>
      </c>
      <c r="B33" s="5"/>
      <c r="C33" s="3"/>
      <c r="D33" s="19"/>
      <c r="E33" s="19"/>
      <c r="F33" s="32"/>
      <c r="G33" s="23"/>
      <c r="H33" s="25"/>
      <c r="I33" s="23"/>
      <c r="J33" s="23"/>
      <c r="K33" s="32"/>
      <c r="L33" s="23"/>
      <c r="M33" s="23"/>
      <c r="N33" s="25">
        <f>+K33*H33</f>
        <v>0</v>
      </c>
      <c r="O33" s="23"/>
      <c r="P33" s="33">
        <f>+N33*1.25</f>
        <v>0</v>
      </c>
      <c r="Q33" s="23"/>
      <c r="R33" s="23"/>
      <c r="S33" s="23"/>
      <c r="U33" s="27"/>
      <c r="V33" s="27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7"/>
      <c r="AK33" s="27"/>
      <c r="AL33" s="28"/>
      <c r="AM33" s="29"/>
    </row>
    <row r="34" spans="1:39" x14ac:dyDescent="0.3">
      <c r="A34" s="7">
        <v>3</v>
      </c>
      <c r="B34" s="5"/>
      <c r="C34" s="3"/>
      <c r="D34" s="19"/>
      <c r="E34" s="19"/>
      <c r="F34" s="32"/>
      <c r="G34" s="23"/>
      <c r="H34" s="25"/>
      <c r="I34" s="23"/>
      <c r="J34" s="23"/>
      <c r="K34" s="32"/>
      <c r="L34" s="23"/>
      <c r="M34" s="23"/>
      <c r="N34" s="25">
        <f>+K34*H34</f>
        <v>0</v>
      </c>
      <c r="O34" s="23"/>
      <c r="P34" s="33">
        <f>+N34*1.25</f>
        <v>0</v>
      </c>
      <c r="Q34" s="23"/>
      <c r="R34" s="23"/>
      <c r="S34" s="23"/>
      <c r="U34" s="27">
        <v>2</v>
      </c>
      <c r="V34" s="27"/>
      <c r="W34" s="26" t="s">
        <v>54</v>
      </c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7">
        <v>0</v>
      </c>
      <c r="AK34" s="27"/>
      <c r="AL34" s="28">
        <v>4857.5</v>
      </c>
      <c r="AM34" s="29">
        <f>+AL34*AJ34</f>
        <v>0</v>
      </c>
    </row>
    <row r="35" spans="1:39" x14ac:dyDescent="0.3">
      <c r="A35" s="7">
        <v>4</v>
      </c>
      <c r="B35" s="5"/>
      <c r="C35" s="3"/>
      <c r="D35" s="19"/>
      <c r="E35" s="19"/>
      <c r="F35" s="32"/>
      <c r="G35" s="23"/>
      <c r="H35" s="25"/>
      <c r="I35" s="23"/>
      <c r="J35" s="23"/>
      <c r="K35" s="32"/>
      <c r="L35" s="23"/>
      <c r="M35" s="23"/>
      <c r="N35" s="25">
        <f>+K35*H35</f>
        <v>0</v>
      </c>
      <c r="O35" s="23"/>
      <c r="P35" s="33">
        <f>+N35*1.25</f>
        <v>0</v>
      </c>
      <c r="Q35" s="23"/>
      <c r="R35" s="23"/>
      <c r="S35" s="23"/>
      <c r="U35" s="27"/>
      <c r="V35" s="27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7"/>
      <c r="AK35" s="27"/>
      <c r="AL35" s="28"/>
      <c r="AM35" s="29"/>
    </row>
    <row r="36" spans="1:39" x14ac:dyDescent="0.3">
      <c r="A36" s="7">
        <v>5</v>
      </c>
      <c r="B36" s="5"/>
      <c r="C36" s="3"/>
      <c r="D36" s="19"/>
      <c r="E36" s="19"/>
      <c r="F36" s="32"/>
      <c r="G36" s="23"/>
      <c r="H36" s="25"/>
      <c r="I36" s="23"/>
      <c r="J36" s="23"/>
      <c r="K36" s="32"/>
      <c r="L36" s="23"/>
      <c r="M36" s="23"/>
      <c r="N36" s="25">
        <f>+F36*H36</f>
        <v>0</v>
      </c>
      <c r="O36" s="23"/>
      <c r="P36" s="33">
        <f>+N36*1.25</f>
        <v>0</v>
      </c>
      <c r="Q36" s="23"/>
      <c r="R36" s="23"/>
      <c r="S36" s="23"/>
      <c r="AM36" s="21">
        <f>SUM(AM32:AM35)</f>
        <v>8635</v>
      </c>
    </row>
    <row r="37" spans="1:39" x14ac:dyDescent="0.3">
      <c r="P37" s="33">
        <f>SUM(P32:S36)</f>
        <v>0</v>
      </c>
      <c r="Q37" s="23"/>
      <c r="R37" s="23"/>
      <c r="S37" s="23"/>
    </row>
    <row r="39" spans="1:39" ht="31.2" customHeight="1" x14ac:dyDescent="0.3">
      <c r="A39" s="31" t="s">
        <v>55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1" t="s">
        <v>56</v>
      </c>
      <c r="AM39" s="11">
        <v>1.1599999999999999</v>
      </c>
    </row>
    <row r="41" spans="1:39" x14ac:dyDescent="0.3">
      <c r="A41" s="22" t="s">
        <v>13</v>
      </c>
      <c r="B41" s="22" t="s">
        <v>14</v>
      </c>
      <c r="C41" s="22" t="s">
        <v>15</v>
      </c>
      <c r="D41" s="22" t="s">
        <v>16</v>
      </c>
      <c r="E41" s="22" t="s">
        <v>57</v>
      </c>
      <c r="F41" s="22" t="s">
        <v>18</v>
      </c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2" t="s">
        <v>19</v>
      </c>
      <c r="AL41" s="22" t="s">
        <v>52</v>
      </c>
      <c r="AM41" s="22" t="s">
        <v>21</v>
      </c>
    </row>
    <row r="42" spans="1:39" x14ac:dyDescent="0.3">
      <c r="A42" s="23"/>
      <c r="B42" s="23"/>
      <c r="C42" s="23"/>
      <c r="D42" s="23"/>
      <c r="E42" s="23"/>
      <c r="F42" s="6">
        <v>1</v>
      </c>
      <c r="G42" s="6">
        <v>2</v>
      </c>
      <c r="H42" s="6">
        <v>3</v>
      </c>
      <c r="I42" s="6">
        <v>4</v>
      </c>
      <c r="J42" s="6">
        <v>5</v>
      </c>
      <c r="K42" s="6">
        <v>6</v>
      </c>
      <c r="L42" s="6">
        <v>7</v>
      </c>
      <c r="M42" s="6">
        <v>8</v>
      </c>
      <c r="N42" s="6">
        <v>9</v>
      </c>
      <c r="O42" s="6">
        <v>10</v>
      </c>
      <c r="P42" s="6">
        <v>11</v>
      </c>
      <c r="Q42" s="6">
        <v>12</v>
      </c>
      <c r="R42" s="6">
        <v>13</v>
      </c>
      <c r="S42" s="6">
        <v>14</v>
      </c>
      <c r="T42" s="6">
        <v>15</v>
      </c>
      <c r="U42" s="6">
        <v>16</v>
      </c>
      <c r="V42" s="6">
        <v>17</v>
      </c>
      <c r="W42" s="6">
        <v>18</v>
      </c>
      <c r="X42" s="6">
        <v>19</v>
      </c>
      <c r="Y42" s="6">
        <v>20</v>
      </c>
      <c r="Z42" s="6">
        <v>21</v>
      </c>
      <c r="AA42" s="6">
        <v>22</v>
      </c>
      <c r="AB42" s="6">
        <v>23</v>
      </c>
      <c r="AC42" s="6">
        <v>24</v>
      </c>
      <c r="AD42" s="6">
        <v>25</v>
      </c>
      <c r="AE42" s="6">
        <v>26</v>
      </c>
      <c r="AF42" s="6">
        <v>27</v>
      </c>
      <c r="AG42" s="6">
        <v>28</v>
      </c>
      <c r="AH42" s="6">
        <v>29</v>
      </c>
      <c r="AI42" s="6">
        <v>30</v>
      </c>
      <c r="AJ42" s="6"/>
      <c r="AK42" s="23"/>
      <c r="AL42" s="23"/>
      <c r="AM42" s="23"/>
    </row>
    <row r="43" spans="1:39" ht="19.95" customHeight="1" x14ac:dyDescent="0.3">
      <c r="A43" s="7">
        <v>3</v>
      </c>
      <c r="B43" s="5" t="s">
        <v>26</v>
      </c>
      <c r="C43" s="5" t="s">
        <v>27</v>
      </c>
      <c r="D43" s="8">
        <v>46113</v>
      </c>
      <c r="E43" s="9">
        <v>25</v>
      </c>
      <c r="F43" s="7" t="str">
        <f>+IF('3'!F10&gt;1,"SI","NO")</f>
        <v>NO</v>
      </c>
      <c r="G43" s="7" t="str">
        <f>+IF('3'!F11&gt;1,"SI","NO")</f>
        <v>NO</v>
      </c>
      <c r="H43" s="7" t="str">
        <f>+IF('3'!F12&gt;1,"SI","NO")</f>
        <v>NO</v>
      </c>
      <c r="I43" s="7" t="str">
        <f>+IF('3'!F13&gt;1,"SI","NO")</f>
        <v>NO</v>
      </c>
      <c r="J43" s="7" t="str">
        <f>+IF('3'!F14&gt;1,"SI","NO")</f>
        <v>NO</v>
      </c>
      <c r="K43" s="7" t="str">
        <f>+IF('3'!F15&gt;1,"SI","NO")</f>
        <v>SI</v>
      </c>
      <c r="L43" s="7" t="str">
        <f>+IF('3'!F16&gt;1,"SI","NO")</f>
        <v>SI</v>
      </c>
      <c r="M43" s="7" t="str">
        <f>+IF('3'!F17&gt;1,"SI","NO")</f>
        <v>SI</v>
      </c>
      <c r="N43" s="7" t="str">
        <f>+IF('3'!F18&gt;1,"SI","NO")</f>
        <v>SI</v>
      </c>
      <c r="O43" s="7" t="str">
        <f>+IF('3'!F19&gt;1,"SI","NO")</f>
        <v>SI</v>
      </c>
      <c r="P43" s="7" t="str">
        <f>+IF('3'!F20&gt;1,"SI","NO")</f>
        <v>NO</v>
      </c>
      <c r="Q43" s="7" t="str">
        <f>+IF('3'!F21&gt;1,"SI","NO")</f>
        <v>NO</v>
      </c>
      <c r="R43" s="7" t="str">
        <f>+IF('3'!F22&gt;1,"SI","NO")</f>
        <v>SI</v>
      </c>
      <c r="S43" s="7" t="str">
        <f>+IF('3'!F23&gt;1,"SI","NO")</f>
        <v>SI</v>
      </c>
      <c r="T43" s="7" t="str">
        <f>+IF('3'!F24&gt;1,"SI","NO")</f>
        <v>SI</v>
      </c>
      <c r="U43" s="7" t="str">
        <f>+IF('3'!F25&gt;1,"SI","NO")</f>
        <v>SI</v>
      </c>
      <c r="V43" s="7" t="str">
        <f>+IF('3'!F26&gt;1,"SI","NO")</f>
        <v>SI</v>
      </c>
      <c r="W43" s="7" t="str">
        <f>+IF('3'!F27&gt;1,"SI","NO")</f>
        <v>NO</v>
      </c>
      <c r="X43" s="7" t="str">
        <f>+IF('3'!F28&gt;1,"SI","NO")</f>
        <v>NO</v>
      </c>
      <c r="Y43" s="7" t="str">
        <f>+IF('3'!F29&gt;1,"SI","NO")</f>
        <v>SI</v>
      </c>
      <c r="Z43" s="7" t="str">
        <f>+IF('3'!F30&gt;1,"SI","NO")</f>
        <v>NO</v>
      </c>
      <c r="AA43" s="7" t="str">
        <f>+IF('3'!F31&gt;1,"SI","NO")</f>
        <v>NO</v>
      </c>
      <c r="AB43" s="7" t="str">
        <f>+IF('3'!F32&gt;1,"SI","NO")</f>
        <v>NO</v>
      </c>
      <c r="AC43" s="7" t="str">
        <f>+IF('3'!F33&gt;1,"SI","NO")</f>
        <v>NO</v>
      </c>
      <c r="AD43" s="7" t="str">
        <f>+IF('3'!F34&gt;1,"SI","NO")</f>
        <v>NO</v>
      </c>
      <c r="AE43" s="7" t="str">
        <f>+IF('3'!F35&gt;1,"SI","NO")</f>
        <v>NO</v>
      </c>
      <c r="AF43" s="7" t="str">
        <f>+IF('3'!F36&gt;1,"SI","NO")</f>
        <v>NO</v>
      </c>
      <c r="AG43" s="7" t="str">
        <f>+IF('3'!F37&gt;1,"SI","NO")</f>
        <v>NO</v>
      </c>
      <c r="AH43" s="7" t="str">
        <f>+IF('3'!F38&gt;1,"SI","NO")</f>
        <v>NO</v>
      </c>
      <c r="AI43" s="7" t="str">
        <f>+IF('3'!F39&gt;1,"SI","NO")</f>
        <v>NO</v>
      </c>
      <c r="AJ43" s="7"/>
      <c r="AK43" s="7">
        <f>+COUNTIF(F43:AJ43,"SI")</f>
        <v>11</v>
      </c>
      <c r="AL43" s="9">
        <f>+AK43*E43</f>
        <v>275</v>
      </c>
      <c r="AM43" s="10">
        <f>+AL43*$AM$39</f>
        <v>319</v>
      </c>
    </row>
    <row r="44" spans="1:39" ht="19.95" customHeight="1" x14ac:dyDescent="0.3">
      <c r="A44" s="7">
        <v>7</v>
      </c>
      <c r="B44" s="5" t="s">
        <v>34</v>
      </c>
      <c r="C44" s="5" t="s">
        <v>35</v>
      </c>
      <c r="D44" s="8">
        <v>46113</v>
      </c>
      <c r="E44" s="9">
        <v>25</v>
      </c>
      <c r="F44" s="7" t="str">
        <f>+IF('7'!F10&gt;1,"SI","NO")</f>
        <v>NO</v>
      </c>
      <c r="G44" s="7" t="str">
        <f>+IF('7'!F11&gt;1,"SI","NO")</f>
        <v>NO</v>
      </c>
      <c r="H44" s="7" t="str">
        <f>+IF('7'!F12&gt;1,"SI","NO")</f>
        <v>NO</v>
      </c>
      <c r="I44" s="7" t="str">
        <f>+IF('7'!F13&gt;1,"SI","NO")</f>
        <v>NO</v>
      </c>
      <c r="J44" s="7" t="str">
        <f>+IF('7'!F14&gt;1,"SI","NO")</f>
        <v>NO</v>
      </c>
      <c r="K44" s="7" t="str">
        <f>+IF('7'!F15&gt;1,"SI","NO")</f>
        <v>NO</v>
      </c>
      <c r="L44" s="7" t="str">
        <f>+IF('7'!F16&gt;1,"SI","NO")</f>
        <v>SI</v>
      </c>
      <c r="M44" s="7" t="str">
        <f>+IF('7'!F17&gt;1,"SI","NO")</f>
        <v>SI</v>
      </c>
      <c r="N44" s="7" t="str">
        <f>+IF('7'!F18&gt;1,"SI","NO")</f>
        <v>SI</v>
      </c>
      <c r="O44" s="7" t="str">
        <f>+IF('7'!F19&gt;1,"SI","NO")</f>
        <v>SI</v>
      </c>
      <c r="P44" s="7" t="str">
        <f>+IF('7'!F20&gt;1,"SI","NO")</f>
        <v>NO</v>
      </c>
      <c r="Q44" s="7" t="str">
        <f>+IF('7'!F21&gt;1,"SI","NO")</f>
        <v>NO</v>
      </c>
      <c r="R44" s="7" t="str">
        <f>+IF('7'!F22&gt;1,"SI","NO")</f>
        <v>SI</v>
      </c>
      <c r="S44" s="7" t="str">
        <f>+IF('7'!F23&gt;1,"SI","NO")</f>
        <v>SI</v>
      </c>
      <c r="T44" s="7" t="str">
        <f>+IF('7'!F24&gt;1,"SI","NO")</f>
        <v>SI</v>
      </c>
      <c r="U44" s="7" t="str">
        <f>+IF('7'!F25&gt;1,"SI","NO")</f>
        <v>SI</v>
      </c>
      <c r="V44" s="7" t="str">
        <f>+IF('7'!F26&gt;1,"SI","NO")</f>
        <v>SI</v>
      </c>
      <c r="W44" s="7" t="str">
        <f>+IF('7'!F27&gt;1,"SI","NO")</f>
        <v>NO</v>
      </c>
      <c r="X44" s="7" t="str">
        <f>+IF('7'!F28&gt;1,"SI","NO")</f>
        <v>NO</v>
      </c>
      <c r="Y44" s="7" t="str">
        <f>+IF('7'!F29&gt;1,"SI","NO")</f>
        <v>SI</v>
      </c>
      <c r="Z44" s="7" t="str">
        <f>+IF('7'!F30&gt;1,"SI","NO")</f>
        <v>NO</v>
      </c>
      <c r="AA44" s="7" t="str">
        <f>+IF('7'!F31&gt;1,"SI","NO")</f>
        <v>NO</v>
      </c>
      <c r="AB44" s="7" t="str">
        <f>+IF('7'!F32&gt;1,"SI","NO")</f>
        <v>NO</v>
      </c>
      <c r="AC44" s="7" t="str">
        <f>+IF('7'!F33&gt;1,"SI","NO")</f>
        <v>NO</v>
      </c>
      <c r="AD44" s="7" t="str">
        <f>+IF('7'!F34&gt;1,"SI","NO")</f>
        <v>NO</v>
      </c>
      <c r="AE44" s="7" t="str">
        <f>+IF('7'!F35&gt;1,"SI","NO")</f>
        <v>NO</v>
      </c>
      <c r="AF44" s="7" t="str">
        <f>+IF('7'!F36&gt;1,"SI","NO")</f>
        <v>NO</v>
      </c>
      <c r="AG44" s="7" t="str">
        <f>+IF('7'!F37&gt;1,"SI","NO")</f>
        <v>NO</v>
      </c>
      <c r="AH44" s="7" t="str">
        <f>+IF('7'!F38&gt;1,"SI","NO")</f>
        <v>NO</v>
      </c>
      <c r="AI44" s="7" t="str">
        <f>+IF('7'!F39&gt;1,"SI","NO")</f>
        <v>NO</v>
      </c>
      <c r="AJ44" s="7"/>
      <c r="AK44" s="7">
        <f>+COUNTIF(F44:AJ44,"SI")</f>
        <v>10</v>
      </c>
      <c r="AL44" s="9">
        <f>+AK44*E44</f>
        <v>250</v>
      </c>
      <c r="AM44" s="10">
        <f>+AL44*$AM$39</f>
        <v>290</v>
      </c>
    </row>
    <row r="45" spans="1:39" ht="19.95" customHeight="1" x14ac:dyDescent="0.3">
      <c r="A45" s="7">
        <v>10</v>
      </c>
      <c r="B45" s="5" t="s">
        <v>40</v>
      </c>
      <c r="C45" s="5" t="s">
        <v>41</v>
      </c>
      <c r="D45" s="8">
        <v>46113</v>
      </c>
      <c r="E45" s="9">
        <v>25</v>
      </c>
      <c r="F45" s="7" t="str">
        <f>+IF('10'!F10&gt;1,"SI","NO")</f>
        <v>SI</v>
      </c>
      <c r="G45" s="7" t="str">
        <f>+IF('10'!F11&gt;1,"SI","NO")</f>
        <v>SI</v>
      </c>
      <c r="H45" s="7" t="str">
        <f>+IF('10'!F12&gt;1,"SI","NO")</f>
        <v>NO</v>
      </c>
      <c r="I45" s="7" t="str">
        <f>+IF('10'!F13&gt;1,"SI","NO")</f>
        <v>NO</v>
      </c>
      <c r="J45" s="7" t="str">
        <f>+IF('10'!F14&gt;1,"SI","NO")</f>
        <v>NO</v>
      </c>
      <c r="K45" s="7" t="str">
        <f>+IF('10'!F15&gt;1,"SI","NO")</f>
        <v>SI</v>
      </c>
      <c r="L45" s="7" t="str">
        <f>+IF('10'!F16&gt;1,"SI","NO")</f>
        <v>SI</v>
      </c>
      <c r="M45" s="7" t="str">
        <f>+IF('10'!F17&gt;1,"SI","NO")</f>
        <v>SI</v>
      </c>
      <c r="N45" s="7" t="str">
        <f>+IF('10'!F18&gt;1,"SI","NO")</f>
        <v>SI</v>
      </c>
      <c r="O45" s="7" t="str">
        <f>+IF('10'!F19&gt;1,"SI","NO")</f>
        <v>SI</v>
      </c>
      <c r="P45" s="7" t="str">
        <f>+IF('10'!F20&gt;1,"SI","NO")</f>
        <v>NO</v>
      </c>
      <c r="Q45" s="7" t="str">
        <f>+IF('10'!F21&gt;1,"SI","NO")</f>
        <v>NO</v>
      </c>
      <c r="R45" s="7" t="str">
        <f>+IF('10'!F22&gt;1,"SI","NO")</f>
        <v>SI</v>
      </c>
      <c r="S45" s="7" t="str">
        <f>+IF('10'!F23&gt;1,"SI","NO")</f>
        <v>SI</v>
      </c>
      <c r="T45" s="7" t="str">
        <f>+IF('10'!F24&gt;1,"SI","NO")</f>
        <v>SI</v>
      </c>
      <c r="U45" s="7" t="str">
        <f>+IF('10'!F25&gt;1,"SI","NO")</f>
        <v>SI</v>
      </c>
      <c r="V45" s="7" t="str">
        <f>+IF('10'!F26&gt;1,"SI","NO")</f>
        <v>SI</v>
      </c>
      <c r="W45" s="7" t="str">
        <f>+IF('10'!F27&gt;1,"SI","NO")</f>
        <v>NO</v>
      </c>
      <c r="X45" s="7" t="str">
        <f>+IF('10'!F28&gt;1,"SI","NO")</f>
        <v>NO</v>
      </c>
      <c r="Y45" s="7" t="str">
        <f>+IF('10'!F29&gt;1,"SI","NO")</f>
        <v>SI</v>
      </c>
      <c r="Z45" s="7" t="str">
        <f>+IF('10'!F30&gt;1,"SI","NO")</f>
        <v>NO</v>
      </c>
      <c r="AA45" s="7" t="str">
        <f>+IF('10'!F31&gt;1,"SI","NO")</f>
        <v>NO</v>
      </c>
      <c r="AB45" s="7" t="str">
        <f>+IF('10'!F32&gt;1,"SI","NO")</f>
        <v>NO</v>
      </c>
      <c r="AC45" s="7" t="str">
        <f>+IF('10'!F33&gt;1,"SI","NO")</f>
        <v>NO</v>
      </c>
      <c r="AD45" s="7" t="str">
        <f>+IF('10'!F34&gt;1,"SI","NO")</f>
        <v>NO</v>
      </c>
      <c r="AE45" s="7" t="str">
        <f>+IF('10'!F35&gt;1,"SI","NO")</f>
        <v>NO</v>
      </c>
      <c r="AF45" s="7" t="str">
        <f>+IF('10'!F36&gt;1,"SI","NO")</f>
        <v>NO</v>
      </c>
      <c r="AG45" s="7" t="str">
        <f>+IF('10'!F37&gt;1,"SI","NO")</f>
        <v>NO</v>
      </c>
      <c r="AH45" s="7" t="str">
        <f>+IF('10'!F38&gt;1,"SI","NO")</f>
        <v>NO</v>
      </c>
      <c r="AI45" s="7" t="str">
        <f>+IF('10'!F39&gt;1,"SI","NO")</f>
        <v>NO</v>
      </c>
      <c r="AJ45" s="7"/>
      <c r="AK45" s="7">
        <f>+COUNTIF(F45:AJ45,"SI")</f>
        <v>13</v>
      </c>
      <c r="AL45" s="9">
        <f>+AK45*E45</f>
        <v>325</v>
      </c>
      <c r="AM45" s="10">
        <f>+AL45*$AM$39</f>
        <v>377</v>
      </c>
    </row>
    <row r="46" spans="1:39" x14ac:dyDescent="0.3">
      <c r="AM46" s="10">
        <f>SUM(AM43:AM45)</f>
        <v>986</v>
      </c>
    </row>
    <row r="48" spans="1:39" ht="31.2" customHeight="1" x14ac:dyDescent="0.3">
      <c r="A48" s="31" t="s">
        <v>58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1" t="s">
        <v>56</v>
      </c>
      <c r="AM48" s="11">
        <v>1.1599999999999999</v>
      </c>
    </row>
    <row r="50" spans="1:39" x14ac:dyDescent="0.3">
      <c r="A50" s="22" t="s">
        <v>13</v>
      </c>
      <c r="B50" s="22" t="s">
        <v>14</v>
      </c>
      <c r="C50" s="22" t="s">
        <v>15</v>
      </c>
      <c r="D50" s="22" t="s">
        <v>16</v>
      </c>
      <c r="E50" s="22" t="s">
        <v>57</v>
      </c>
      <c r="F50" s="22" t="s">
        <v>18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2" t="s">
        <v>19</v>
      </c>
      <c r="AL50" s="22" t="s">
        <v>52</v>
      </c>
      <c r="AM50" s="22" t="s">
        <v>21</v>
      </c>
    </row>
    <row r="51" spans="1:39" x14ac:dyDescent="0.3">
      <c r="A51" s="23"/>
      <c r="B51" s="23"/>
      <c r="C51" s="23"/>
      <c r="D51" s="23"/>
      <c r="E51" s="23"/>
      <c r="F51" s="6">
        <v>1</v>
      </c>
      <c r="G51" s="6">
        <v>2</v>
      </c>
      <c r="H51" s="6">
        <v>3</v>
      </c>
      <c r="I51" s="6">
        <v>4</v>
      </c>
      <c r="J51" s="6">
        <v>5</v>
      </c>
      <c r="K51" s="6">
        <v>6</v>
      </c>
      <c r="L51" s="6">
        <v>7</v>
      </c>
      <c r="M51" s="6">
        <v>8</v>
      </c>
      <c r="N51" s="6">
        <v>9</v>
      </c>
      <c r="O51" s="6">
        <v>10</v>
      </c>
      <c r="P51" s="6">
        <v>11</v>
      </c>
      <c r="Q51" s="6">
        <v>12</v>
      </c>
      <c r="R51" s="6">
        <v>13</v>
      </c>
      <c r="S51" s="6">
        <v>14</v>
      </c>
      <c r="T51" s="6">
        <v>15</v>
      </c>
      <c r="U51" s="6">
        <v>16</v>
      </c>
      <c r="V51" s="6">
        <v>17</v>
      </c>
      <c r="W51" s="6">
        <v>18</v>
      </c>
      <c r="X51" s="6">
        <v>19</v>
      </c>
      <c r="Y51" s="6">
        <v>20</v>
      </c>
      <c r="Z51" s="6">
        <v>21</v>
      </c>
      <c r="AA51" s="6">
        <v>22</v>
      </c>
      <c r="AB51" s="6">
        <v>23</v>
      </c>
      <c r="AC51" s="6">
        <v>24</v>
      </c>
      <c r="AD51" s="6">
        <v>25</v>
      </c>
      <c r="AE51" s="6">
        <v>26</v>
      </c>
      <c r="AF51" s="6">
        <v>27</v>
      </c>
      <c r="AG51" s="6">
        <v>28</v>
      </c>
      <c r="AH51" s="6">
        <v>29</v>
      </c>
      <c r="AI51" s="6">
        <v>30</v>
      </c>
      <c r="AJ51" s="6"/>
      <c r="AK51" s="23"/>
      <c r="AL51" s="23"/>
      <c r="AM51" s="23"/>
    </row>
    <row r="52" spans="1:39" ht="19.95" customHeight="1" x14ac:dyDescent="0.3">
      <c r="A52" s="7">
        <v>4</v>
      </c>
      <c r="B52" s="5" t="s">
        <v>28</v>
      </c>
      <c r="C52" s="5" t="s">
        <v>29</v>
      </c>
      <c r="D52" s="8">
        <v>46113</v>
      </c>
      <c r="E52" s="9">
        <v>25</v>
      </c>
      <c r="F52" s="7" t="str">
        <f>+IF('4'!F10&gt;1,"SI","NO")</f>
        <v>NO</v>
      </c>
      <c r="G52" s="7" t="str">
        <f>+IF('4'!F11&gt;1,"SI","NO")</f>
        <v>NO</v>
      </c>
      <c r="H52" s="7" t="str">
        <f>+IF('4'!F12&gt;1,"SI","NO")</f>
        <v>NO</v>
      </c>
      <c r="I52" s="7" t="str">
        <f>+IF('4'!F13&gt;1,"SI","NO")</f>
        <v>NO</v>
      </c>
      <c r="J52" s="7" t="str">
        <f>+IF('4'!F14&gt;1,"SI","NO")</f>
        <v>NO</v>
      </c>
      <c r="K52" s="7" t="str">
        <f>+IF('4'!F15&gt;1,"SI","NO")</f>
        <v>NO</v>
      </c>
      <c r="L52" s="7" t="str">
        <f>+IF('4'!F16&gt;1,"SI","NO")</f>
        <v>NO</v>
      </c>
      <c r="M52" s="7" t="str">
        <f>+IF('4'!F17&gt;1,"SI","NO")</f>
        <v>NO</v>
      </c>
      <c r="N52" s="7" t="str">
        <f>+IF('4'!F18&gt;1,"SI","NO")</f>
        <v>NO</v>
      </c>
      <c r="O52" s="7" t="str">
        <f>+IF('4'!F19&gt;1,"SI","NO")</f>
        <v>NO</v>
      </c>
      <c r="P52" s="7" t="str">
        <f>+IF('4'!F20&gt;1,"SI","NO")</f>
        <v>NO</v>
      </c>
      <c r="Q52" s="7" t="str">
        <f>+IF('4'!F21&gt;1,"SI","NO")</f>
        <v>NO</v>
      </c>
      <c r="R52" s="7" t="str">
        <f>+IF('4'!F22&gt;1,"SI","NO")</f>
        <v>NO</v>
      </c>
      <c r="S52" s="7" t="str">
        <f>+IF('4'!F23&gt;1,"SI","NO")</f>
        <v>SI</v>
      </c>
      <c r="T52" s="7" t="str">
        <f>+IF('4'!F24&gt;1,"SI","NO")</f>
        <v>SI</v>
      </c>
      <c r="U52" s="7" t="str">
        <f>+IF('4'!F25&gt;1,"SI","NO")</f>
        <v>SI</v>
      </c>
      <c r="V52" s="7" t="str">
        <f>+IF('4'!F26&gt;1,"SI","NO")</f>
        <v>SI</v>
      </c>
      <c r="W52" s="7" t="str">
        <f>+IF('4'!F27&gt;1,"SI","NO")</f>
        <v>SI</v>
      </c>
      <c r="X52" s="7" t="str">
        <f>+IF('4'!F28&gt;1,"SI","NO")</f>
        <v>NO</v>
      </c>
      <c r="Y52" s="7" t="str">
        <f>+IF('4'!F29&gt;1,"SI","NO")</f>
        <v>SI</v>
      </c>
      <c r="Z52" s="7" t="str">
        <f>+IF('4'!F30&gt;1,"SI","NO")</f>
        <v>NO</v>
      </c>
      <c r="AA52" s="7" t="str">
        <f>+IF('4'!F31&gt;1,"SI","NO")</f>
        <v>NO</v>
      </c>
      <c r="AB52" s="7" t="str">
        <f>+IF('4'!F32&gt;1,"SI","NO")</f>
        <v>NO</v>
      </c>
      <c r="AC52" s="7" t="str">
        <f>+IF('4'!F33&gt;1,"SI","NO")</f>
        <v>NO</v>
      </c>
      <c r="AD52" s="7" t="str">
        <f>+IF('4'!F34&gt;1,"SI","NO")</f>
        <v>NO</v>
      </c>
      <c r="AE52" s="7" t="str">
        <f>+IF('4'!F35&gt;1,"SI","NO")</f>
        <v>NO</v>
      </c>
      <c r="AF52" s="7" t="str">
        <f>+IF('4'!F36&gt;1,"SI","NO")</f>
        <v>NO</v>
      </c>
      <c r="AG52" s="7" t="str">
        <f>+IF('4'!F37&gt;1,"SI","NO")</f>
        <v>NO</v>
      </c>
      <c r="AH52" s="7" t="str">
        <f>+IF('4'!F38&gt;1,"SI","NO")</f>
        <v>NO</v>
      </c>
      <c r="AI52" s="7" t="str">
        <f>+IF('4'!F39&gt;1,"SI","NO")</f>
        <v>NO</v>
      </c>
      <c r="AJ52" s="7"/>
      <c r="AK52" s="7">
        <f>+COUNTIF(F52:AJ52,"SI")</f>
        <v>6</v>
      </c>
      <c r="AL52" s="9">
        <f>+AK52*E52</f>
        <v>150</v>
      </c>
      <c r="AM52" s="10">
        <f>+AL52*$AM$48</f>
        <v>174</v>
      </c>
    </row>
    <row r="53" spans="1:39" ht="19.95" customHeight="1" x14ac:dyDescent="0.3">
      <c r="A53" s="7">
        <v>6</v>
      </c>
      <c r="B53" s="5" t="s">
        <v>32</v>
      </c>
      <c r="C53" s="5" t="s">
        <v>33</v>
      </c>
      <c r="D53" s="8">
        <v>46113</v>
      </c>
      <c r="E53" s="9">
        <v>25</v>
      </c>
      <c r="F53" s="7" t="str">
        <f>+IF('6'!F10&gt;1,"SI","NO")</f>
        <v>SI</v>
      </c>
      <c r="G53" s="7" t="str">
        <f>+IF('6'!F11&gt;1,"SI","NO")</f>
        <v>SI</v>
      </c>
      <c r="H53" s="7" t="str">
        <f>+IF('6'!F12&gt;1,"SI","NO")</f>
        <v>NO</v>
      </c>
      <c r="I53" s="7" t="str">
        <f>+IF('6'!F13&gt;1,"SI","NO")</f>
        <v>NO</v>
      </c>
      <c r="J53" s="7" t="str">
        <f>+IF('6'!F14&gt;1,"SI","NO")</f>
        <v>NO</v>
      </c>
      <c r="K53" s="7" t="str">
        <f>+IF('6'!F15&gt;1,"SI","NO")</f>
        <v>SI</v>
      </c>
      <c r="L53" s="7" t="str">
        <f>+IF('6'!F16&gt;1,"SI","NO")</f>
        <v>SI</v>
      </c>
      <c r="M53" s="7" t="str">
        <f>+IF('6'!F17&gt;1,"SI","NO")</f>
        <v>SI</v>
      </c>
      <c r="N53" s="7" t="str">
        <f>+IF('6'!F18&gt;1,"SI","NO")</f>
        <v>SI</v>
      </c>
      <c r="O53" s="7" t="str">
        <f>+IF('6'!F19&gt;1,"SI","NO")</f>
        <v>SI</v>
      </c>
      <c r="P53" s="7" t="str">
        <f>+IF('6'!F20&gt;1,"SI","NO")</f>
        <v>NO</v>
      </c>
      <c r="Q53" s="7" t="str">
        <f>+IF('6'!F21&gt;1,"SI","NO")</f>
        <v>NO</v>
      </c>
      <c r="R53" s="7" t="str">
        <f>+IF('6'!F22&gt;1,"SI","NO")</f>
        <v>SI</v>
      </c>
      <c r="S53" s="7" t="str">
        <f>+IF('6'!F23&gt;1,"SI","NO")</f>
        <v>SI</v>
      </c>
      <c r="T53" s="7" t="str">
        <f>+IF('6'!F24&gt;1,"SI","NO")</f>
        <v>SI</v>
      </c>
      <c r="U53" s="7" t="str">
        <f>+IF('6'!F25&gt;1,"SI","NO")</f>
        <v>SI</v>
      </c>
      <c r="V53" s="7" t="str">
        <f>+IF('6'!F26&gt;1,"SI","NO")</f>
        <v>SI</v>
      </c>
      <c r="W53" s="7" t="str">
        <f>+IF('6'!F27&gt;1,"SI","NO")</f>
        <v>SI</v>
      </c>
      <c r="X53" s="7" t="str">
        <f>+IF('6'!F28&gt;1,"SI","NO")</f>
        <v>NO</v>
      </c>
      <c r="Y53" s="7" t="str">
        <f>+IF('6'!F29&gt;1,"SI","NO")</f>
        <v>SI</v>
      </c>
      <c r="Z53" s="7" t="str">
        <f>+IF('6'!F30&gt;1,"SI","NO")</f>
        <v>NO</v>
      </c>
      <c r="AA53" s="7" t="str">
        <f>+IF('6'!F31&gt;1,"SI","NO")</f>
        <v>NO</v>
      </c>
      <c r="AB53" s="7" t="str">
        <f>+IF('6'!F32&gt;1,"SI","NO")</f>
        <v>NO</v>
      </c>
      <c r="AC53" s="7" t="str">
        <f>+IF('6'!F33&gt;1,"SI","NO")</f>
        <v>NO</v>
      </c>
      <c r="AD53" s="7" t="str">
        <f>+IF('6'!F34&gt;1,"SI","NO")</f>
        <v>NO</v>
      </c>
      <c r="AE53" s="7" t="str">
        <f>+IF('6'!F35&gt;1,"SI","NO")</f>
        <v>NO</v>
      </c>
      <c r="AF53" s="7" t="str">
        <f>+IF('6'!F36&gt;1,"SI","NO")</f>
        <v>NO</v>
      </c>
      <c r="AG53" s="7" t="str">
        <f>+IF('6'!F37&gt;1,"SI","NO")</f>
        <v>NO</v>
      </c>
      <c r="AH53" s="7" t="str">
        <f>+IF('6'!F38&gt;1,"SI","NO")</f>
        <v>NO</v>
      </c>
      <c r="AI53" s="7" t="str">
        <f>+IF('6'!F39&gt;1,"SI","NO")</f>
        <v>NO</v>
      </c>
      <c r="AJ53" s="7"/>
      <c r="AK53" s="7">
        <f>+COUNTIF(F53:AJ53,"SI")</f>
        <v>14</v>
      </c>
      <c r="AL53" s="9">
        <f>+AK53*E53</f>
        <v>350</v>
      </c>
      <c r="AM53" s="10">
        <f>+AL53*$AM$48</f>
        <v>406</v>
      </c>
    </row>
    <row r="54" spans="1:39" ht="19.95" customHeight="1" x14ac:dyDescent="0.3">
      <c r="A54" s="7">
        <v>11</v>
      </c>
      <c r="B54" s="5" t="s">
        <v>42</v>
      </c>
      <c r="C54" s="5" t="s">
        <v>41</v>
      </c>
      <c r="D54" s="8">
        <v>46113</v>
      </c>
      <c r="E54" s="9">
        <v>25</v>
      </c>
      <c r="F54" s="7" t="str">
        <f>+IF('11'!F10&gt;1,"SI","NO")</f>
        <v>SI</v>
      </c>
      <c r="G54" s="7" t="str">
        <f>+IF('11'!F11&gt;1,"SI","NO")</f>
        <v>NO</v>
      </c>
      <c r="H54" s="7" t="str">
        <f>+IF('11'!F12&gt;1,"SI","NO")</f>
        <v>NO</v>
      </c>
      <c r="I54" s="7" t="str">
        <f>+IF('11'!F13&gt;1,"SI","NO")</f>
        <v>NO</v>
      </c>
      <c r="J54" s="7" t="str">
        <f>+IF('11'!F14&gt;1,"SI","NO")</f>
        <v>NO</v>
      </c>
      <c r="K54" s="7" t="str">
        <f>+IF('11'!F15&gt;1,"SI","NO")</f>
        <v>SI</v>
      </c>
      <c r="L54" s="7" t="str">
        <f>+IF('11'!F16&gt;1,"SI","NO")</f>
        <v>SI</v>
      </c>
      <c r="M54" s="7" t="str">
        <f>+IF('11'!F17&gt;1,"SI","NO")</f>
        <v>SI</v>
      </c>
      <c r="N54" s="7" t="str">
        <f>+IF('11'!F18&gt;1,"SI","NO")</f>
        <v>SI</v>
      </c>
      <c r="O54" s="7" t="str">
        <f>+IF('11'!F19&gt;1,"SI","NO")</f>
        <v>SI</v>
      </c>
      <c r="P54" s="7" t="str">
        <f>+IF('11'!F20&gt;1,"SI","NO")</f>
        <v>NO</v>
      </c>
      <c r="Q54" s="7" t="str">
        <f>+IF('11'!F21&gt;1,"SI","NO")</f>
        <v>NO</v>
      </c>
      <c r="R54" s="7" t="str">
        <f>+IF('11'!F22&gt;1,"SI","NO")</f>
        <v>SI</v>
      </c>
      <c r="S54" s="7" t="str">
        <f>+IF('11'!F23&gt;1,"SI","NO")</f>
        <v>SI</v>
      </c>
      <c r="T54" s="7" t="str">
        <f>+IF('11'!F24&gt;1,"SI","NO")</f>
        <v>SI</v>
      </c>
      <c r="U54" s="7" t="str">
        <f>+IF('11'!F25&gt;1,"SI","NO")</f>
        <v>SI</v>
      </c>
      <c r="V54" s="7" t="str">
        <f>+IF('11'!F26&gt;1,"SI","NO")</f>
        <v>SI</v>
      </c>
      <c r="W54" s="7" t="str">
        <f>+IF('11'!F27&gt;1,"SI","NO")</f>
        <v>NO</v>
      </c>
      <c r="X54" s="7" t="str">
        <f>+IF('11'!F28&gt;1,"SI","NO")</f>
        <v>NO</v>
      </c>
      <c r="Y54" s="7" t="str">
        <f>+IF('11'!F29&gt;1,"SI","NO")</f>
        <v>SI</v>
      </c>
      <c r="Z54" s="7" t="str">
        <f>+IF('11'!F30&gt;1,"SI","NO")</f>
        <v>NO</v>
      </c>
      <c r="AA54" s="7" t="str">
        <f>+IF('11'!F31&gt;1,"SI","NO")</f>
        <v>NO</v>
      </c>
      <c r="AB54" s="7" t="str">
        <f>+IF('11'!F32&gt;1,"SI","NO")</f>
        <v>NO</v>
      </c>
      <c r="AC54" s="7" t="str">
        <f>+IF('11'!F33&gt;1,"SI","NO")</f>
        <v>NO</v>
      </c>
      <c r="AD54" s="7" t="str">
        <f>+IF('11'!F34&gt;1,"SI","NO")</f>
        <v>NO</v>
      </c>
      <c r="AE54" s="7" t="str">
        <f>+IF('11'!F35&gt;1,"SI","NO")</f>
        <v>NO</v>
      </c>
      <c r="AF54" s="7" t="str">
        <f>+IF('11'!F36&gt;1,"SI","NO")</f>
        <v>NO</v>
      </c>
      <c r="AG54" s="7" t="str">
        <f>+IF('11'!F37&gt;1,"SI","NO")</f>
        <v>NO</v>
      </c>
      <c r="AH54" s="7" t="str">
        <f>+IF('11'!F38&gt;1,"SI","NO")</f>
        <v>NO</v>
      </c>
      <c r="AI54" s="7" t="str">
        <f>+IF('11'!F39&gt;1,"SI","NO")</f>
        <v>NO</v>
      </c>
      <c r="AJ54" s="7"/>
      <c r="AK54" s="7">
        <f>+COUNTIF(F54:AJ54,"SI")</f>
        <v>12</v>
      </c>
      <c r="AL54" s="9">
        <f>+AK54*E54</f>
        <v>300</v>
      </c>
      <c r="AM54" s="10">
        <f>+AL54*$AM$48</f>
        <v>348</v>
      </c>
    </row>
    <row r="55" spans="1:39" x14ac:dyDescent="0.3">
      <c r="AM55" s="10">
        <f>SUM(AM52:AM54)</f>
        <v>928</v>
      </c>
    </row>
    <row r="57" spans="1:39" ht="31.2" customHeight="1" x14ac:dyDescent="0.3">
      <c r="A57" s="31" t="s">
        <v>59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1" t="s">
        <v>56</v>
      </c>
      <c r="AM57" s="11">
        <v>1.1599999999999999</v>
      </c>
    </row>
    <row r="59" spans="1:39" x14ac:dyDescent="0.3">
      <c r="A59" s="22" t="s">
        <v>13</v>
      </c>
      <c r="B59" s="22" t="s">
        <v>14</v>
      </c>
      <c r="C59" s="22" t="s">
        <v>15</v>
      </c>
      <c r="D59" s="22" t="s">
        <v>16</v>
      </c>
      <c r="E59" s="22" t="s">
        <v>57</v>
      </c>
      <c r="F59" s="22" t="s">
        <v>18</v>
      </c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2" t="s">
        <v>19</v>
      </c>
      <c r="AL59" s="22" t="s">
        <v>52</v>
      </c>
      <c r="AM59" s="22" t="s">
        <v>21</v>
      </c>
    </row>
    <row r="60" spans="1:39" x14ac:dyDescent="0.3">
      <c r="A60" s="23"/>
      <c r="B60" s="23"/>
      <c r="C60" s="23"/>
      <c r="D60" s="23"/>
      <c r="E60" s="23"/>
      <c r="F60" s="6">
        <v>1</v>
      </c>
      <c r="G60" s="6">
        <v>2</v>
      </c>
      <c r="H60" s="6">
        <v>3</v>
      </c>
      <c r="I60" s="6">
        <v>4</v>
      </c>
      <c r="J60" s="6">
        <v>5</v>
      </c>
      <c r="K60" s="6">
        <v>6</v>
      </c>
      <c r="L60" s="6">
        <v>7</v>
      </c>
      <c r="M60" s="6">
        <v>8</v>
      </c>
      <c r="N60" s="6">
        <v>9</v>
      </c>
      <c r="O60" s="6">
        <v>10</v>
      </c>
      <c r="P60" s="6">
        <v>11</v>
      </c>
      <c r="Q60" s="6">
        <v>12</v>
      </c>
      <c r="R60" s="6">
        <v>13</v>
      </c>
      <c r="S60" s="6">
        <v>14</v>
      </c>
      <c r="T60" s="6">
        <v>15</v>
      </c>
      <c r="U60" s="6">
        <v>16</v>
      </c>
      <c r="V60" s="6">
        <v>17</v>
      </c>
      <c r="W60" s="6">
        <v>18</v>
      </c>
      <c r="X60" s="6">
        <v>19</v>
      </c>
      <c r="Y60" s="6">
        <v>20</v>
      </c>
      <c r="Z60" s="6">
        <v>21</v>
      </c>
      <c r="AA60" s="6">
        <v>22</v>
      </c>
      <c r="AB60" s="6">
        <v>23</v>
      </c>
      <c r="AC60" s="6">
        <v>24</v>
      </c>
      <c r="AD60" s="6">
        <v>25</v>
      </c>
      <c r="AE60" s="6">
        <v>26</v>
      </c>
      <c r="AF60" s="6">
        <v>27</v>
      </c>
      <c r="AG60" s="6">
        <v>28</v>
      </c>
      <c r="AH60" s="6">
        <v>29</v>
      </c>
      <c r="AI60" s="6">
        <v>30</v>
      </c>
      <c r="AJ60" s="6"/>
      <c r="AK60" s="23"/>
      <c r="AL60" s="23"/>
      <c r="AM60" s="23"/>
    </row>
    <row r="61" spans="1:39" ht="19.95" customHeight="1" x14ac:dyDescent="0.3">
      <c r="A61" s="7">
        <v>1</v>
      </c>
      <c r="B61" s="5" t="s">
        <v>22</v>
      </c>
      <c r="C61" s="5" t="s">
        <v>23</v>
      </c>
      <c r="D61" s="8">
        <v>46113</v>
      </c>
      <c r="E61" s="9">
        <v>25</v>
      </c>
      <c r="F61" s="7" t="str">
        <f>+IF('1'!F10&gt;1,"SI","NO")</f>
        <v>SI</v>
      </c>
      <c r="G61" s="7" t="str">
        <f>+IF('1'!F11&gt;1,"SI","NO")</f>
        <v>SI</v>
      </c>
      <c r="H61" s="7" t="str">
        <f>+IF('1'!F12&gt;1,"SI","NO")</f>
        <v>NO</v>
      </c>
      <c r="I61" s="7" t="str">
        <f>+IF('1'!F13&gt;1,"SI","NO")</f>
        <v>NO</v>
      </c>
      <c r="J61" s="7" t="str">
        <f>+IF('1'!F14&gt;1,"SI","NO")</f>
        <v>NO</v>
      </c>
      <c r="K61" s="7" t="str">
        <f>+IF('1'!F15&gt;1,"SI","NO")</f>
        <v>SI</v>
      </c>
      <c r="L61" s="7" t="str">
        <f>+IF('1'!F16&gt;1,"SI","NO")</f>
        <v>SI</v>
      </c>
      <c r="M61" s="7" t="str">
        <f>+IF('1'!F17&gt;1,"SI","NO")</f>
        <v>SI</v>
      </c>
      <c r="N61" s="7" t="str">
        <f>+IF('1'!F18&gt;1,"SI","NO")</f>
        <v>SI</v>
      </c>
      <c r="O61" s="7" t="str">
        <f>+IF('1'!F19&gt;1,"SI","NO")</f>
        <v>SI</v>
      </c>
      <c r="P61" s="7" t="str">
        <f>+IF('1'!F20&gt;1,"SI","NO")</f>
        <v>NO</v>
      </c>
      <c r="Q61" s="7" t="str">
        <f>+IF('1'!F21&gt;1,"SI","NO")</f>
        <v>NO</v>
      </c>
      <c r="R61" s="7" t="str">
        <f>+IF('1'!F22&gt;1,"SI","NO")</f>
        <v>SI</v>
      </c>
      <c r="S61" s="7" t="str">
        <f>+IF('1'!F23&gt;1,"SI","NO")</f>
        <v>SI</v>
      </c>
      <c r="T61" s="7" t="str">
        <f>+IF('1'!F24&gt;1,"SI","NO")</f>
        <v>SI</v>
      </c>
      <c r="U61" s="7" t="str">
        <f>+IF('1'!F25&gt;1,"SI","NO")</f>
        <v>SI</v>
      </c>
      <c r="V61" s="7" t="str">
        <f>+IF('1'!F26&gt;1,"SI","NO")</f>
        <v>SI</v>
      </c>
      <c r="W61" s="7" t="str">
        <f>+IF('1'!F27&gt;1,"SI","NO")</f>
        <v>SI</v>
      </c>
      <c r="X61" s="7" t="str">
        <f>+IF('1'!F28&gt;1,"SI","NO")</f>
        <v>NO</v>
      </c>
      <c r="Y61" s="7" t="str">
        <f>+IF('1'!F29&gt;1,"SI","NO")</f>
        <v>SI</v>
      </c>
      <c r="Z61" s="7" t="str">
        <f>+IF('1'!F30&gt;1,"SI","NO")</f>
        <v>NO</v>
      </c>
      <c r="AA61" s="7" t="str">
        <f>+IF('1'!F31&gt;1,"SI","NO")</f>
        <v>NO</v>
      </c>
      <c r="AB61" s="7" t="str">
        <f>+IF('1'!F32&gt;1,"SI","NO")</f>
        <v>NO</v>
      </c>
      <c r="AC61" s="7" t="str">
        <f>+IF('1'!F33&gt;1,"SI","NO")</f>
        <v>NO</v>
      </c>
      <c r="AD61" s="7" t="str">
        <f>+IF('1'!F34&gt;1,"SI","NO")</f>
        <v>NO</v>
      </c>
      <c r="AE61" s="7" t="str">
        <f>+IF('1'!F35&gt;1,"SI","NO")</f>
        <v>NO</v>
      </c>
      <c r="AF61" s="7" t="str">
        <f>+IF('1'!F36&gt;1,"SI","NO")</f>
        <v>NO</v>
      </c>
      <c r="AG61" s="7" t="str">
        <f>+IF('1'!F37&gt;1,"SI","NO")</f>
        <v>NO</v>
      </c>
      <c r="AH61" s="7" t="str">
        <f>+IF('1'!F38&gt;1,"SI","NO")</f>
        <v>NO</v>
      </c>
      <c r="AI61" s="7" t="str">
        <f>+IF('1'!F39&gt;1,"SI","NO")</f>
        <v>NO</v>
      </c>
      <c r="AJ61" s="7"/>
      <c r="AK61" s="7">
        <f t="shared" ref="AK61:AK66" si="2">+COUNTIF(F61:AJ61,"SI")</f>
        <v>14</v>
      </c>
      <c r="AL61" s="9">
        <f t="shared" ref="AL61:AL66" si="3">+AK61*E61</f>
        <v>350</v>
      </c>
      <c r="AM61" s="10">
        <f t="shared" ref="AM61:AM66" si="4">+AL61*$AM$57</f>
        <v>406</v>
      </c>
    </row>
    <row r="62" spans="1:39" ht="19.95" customHeight="1" x14ac:dyDescent="0.3">
      <c r="A62" s="7">
        <v>2</v>
      </c>
      <c r="B62" s="5" t="s">
        <v>24</v>
      </c>
      <c r="C62" s="5" t="s">
        <v>25</v>
      </c>
      <c r="D62" s="8">
        <v>46113</v>
      </c>
      <c r="E62" s="9">
        <v>25</v>
      </c>
      <c r="F62" s="7" t="str">
        <f>+IF('2'!F10&gt;1,"SI","NO")</f>
        <v>NO</v>
      </c>
      <c r="G62" s="7" t="str">
        <f>+IF('2'!F11&gt;1,"SI","NO")</f>
        <v>NO</v>
      </c>
      <c r="H62" s="7" t="str">
        <f>+IF('2'!F12&gt;1,"SI","NO")</f>
        <v>NO</v>
      </c>
      <c r="I62" s="7" t="str">
        <f>+IF('2'!F13&gt;1,"SI","NO")</f>
        <v>NO</v>
      </c>
      <c r="J62" s="7" t="str">
        <f>+IF('2'!F14&gt;1,"SI","NO")</f>
        <v>NO</v>
      </c>
      <c r="K62" s="7" t="str">
        <f>+IF('2'!F15&gt;1,"SI","NO")</f>
        <v>SI</v>
      </c>
      <c r="L62" s="7" t="str">
        <f>+IF('2'!F16&gt;1,"SI","NO")</f>
        <v>SI</v>
      </c>
      <c r="M62" s="7" t="str">
        <f>+IF('2'!F17&gt;1,"SI","NO")</f>
        <v>SI</v>
      </c>
      <c r="N62" s="7" t="str">
        <f>+IF('2'!F18&gt;1,"SI","NO")</f>
        <v>SI</v>
      </c>
      <c r="O62" s="7" t="str">
        <f>+IF('2'!F19&gt;1,"SI","NO")</f>
        <v>SI</v>
      </c>
      <c r="P62" s="7" t="str">
        <f>+IF('2'!F20&gt;1,"SI","NO")</f>
        <v>NO</v>
      </c>
      <c r="Q62" s="7" t="str">
        <f>+IF('2'!F21&gt;1,"SI","NO")</f>
        <v>NO</v>
      </c>
      <c r="R62" s="7" t="str">
        <f>+IF('2'!F22&gt;1,"SI","NO")</f>
        <v>SI</v>
      </c>
      <c r="S62" s="7" t="str">
        <f>+IF('2'!F23&gt;1,"SI","NO")</f>
        <v>SI</v>
      </c>
      <c r="T62" s="7" t="str">
        <f>+IF('2'!F24&gt;1,"SI","NO")</f>
        <v>SI</v>
      </c>
      <c r="U62" s="7" t="str">
        <f>+IF('2'!F25&gt;1,"SI","NO")</f>
        <v>SI</v>
      </c>
      <c r="V62" s="7" t="str">
        <f>+IF('2'!F26&gt;1,"SI","NO")</f>
        <v>SI</v>
      </c>
      <c r="W62" s="7" t="str">
        <f>+IF('2'!F27&gt;1,"SI","NO")</f>
        <v>NO</v>
      </c>
      <c r="X62" s="7" t="str">
        <f>+IF('2'!F28&gt;1,"SI","NO")</f>
        <v>NO</v>
      </c>
      <c r="Y62" s="7" t="str">
        <f>+IF('2'!F29&gt;1,"SI","NO")</f>
        <v>SI</v>
      </c>
      <c r="Z62" s="7" t="str">
        <f>+IF('2'!F30&gt;1,"SI","NO")</f>
        <v>NO</v>
      </c>
      <c r="AA62" s="7" t="str">
        <f>+IF('2'!F31&gt;1,"SI","NO")</f>
        <v>NO</v>
      </c>
      <c r="AB62" s="7" t="str">
        <f>+IF('2'!F32&gt;1,"SI","NO")</f>
        <v>NO</v>
      </c>
      <c r="AC62" s="7" t="str">
        <f>+IF('2'!F33&gt;1,"SI","NO")</f>
        <v>NO</v>
      </c>
      <c r="AD62" s="7" t="str">
        <f>+IF('2'!F34&gt;1,"SI","NO")</f>
        <v>NO</v>
      </c>
      <c r="AE62" s="7" t="str">
        <f>+IF('2'!F35&gt;1,"SI","NO")</f>
        <v>NO</v>
      </c>
      <c r="AF62" s="7" t="str">
        <f>+IF('2'!F36&gt;1,"SI","NO")</f>
        <v>NO</v>
      </c>
      <c r="AG62" s="7" t="str">
        <f>+IF('2'!F37&gt;1,"SI","NO")</f>
        <v>NO</v>
      </c>
      <c r="AH62" s="7" t="str">
        <f>+IF('2'!F38&gt;1,"SI","NO")</f>
        <v>NO</v>
      </c>
      <c r="AI62" s="7" t="str">
        <f>+IF('2'!F39&gt;1,"SI","NO")</f>
        <v>NO</v>
      </c>
      <c r="AJ62" s="7"/>
      <c r="AK62" s="7">
        <f t="shared" si="2"/>
        <v>11</v>
      </c>
      <c r="AL62" s="9">
        <f t="shared" si="3"/>
        <v>275</v>
      </c>
      <c r="AM62" s="10">
        <f t="shared" si="4"/>
        <v>319</v>
      </c>
    </row>
    <row r="63" spans="1:39" ht="19.95" customHeight="1" x14ac:dyDescent="0.3">
      <c r="A63" s="7">
        <v>5</v>
      </c>
      <c r="B63" s="5" t="s">
        <v>30</v>
      </c>
      <c r="C63" s="5" t="s">
        <v>31</v>
      </c>
      <c r="D63" s="8">
        <v>46113</v>
      </c>
      <c r="E63" s="9">
        <v>25</v>
      </c>
      <c r="F63" s="7" t="str">
        <f>+IF('5'!F10&gt;1,"SI","NO")</f>
        <v>SI</v>
      </c>
      <c r="G63" s="7" t="str">
        <f>+IF('5'!F11&gt;1,"SI","NO")</f>
        <v>NO</v>
      </c>
      <c r="H63" s="7" t="str">
        <f>+IF('5'!F12&gt;1,"SI","NO")</f>
        <v>NO</v>
      </c>
      <c r="I63" s="7" t="str">
        <f>+IF('5'!F13&gt;1,"SI","NO")</f>
        <v>NO</v>
      </c>
      <c r="J63" s="7" t="str">
        <f>+IF('5'!F14&gt;1,"SI","NO")</f>
        <v>NO</v>
      </c>
      <c r="K63" s="7" t="str">
        <f>+IF('5'!F15&gt;1,"SI","NO")</f>
        <v>SI</v>
      </c>
      <c r="L63" s="7" t="str">
        <f>+IF('5'!F16&gt;1,"SI","NO")</f>
        <v>SI</v>
      </c>
      <c r="M63" s="7" t="str">
        <f>+IF('5'!F17&gt;1,"SI","NO")</f>
        <v>SI</v>
      </c>
      <c r="N63" s="7" t="str">
        <f>+IF('5'!F18&gt;1,"SI","NO")</f>
        <v>SI</v>
      </c>
      <c r="O63" s="7" t="str">
        <f>+IF('5'!F19&gt;1,"SI","NO")</f>
        <v>SI</v>
      </c>
      <c r="P63" s="7" t="str">
        <f>+IF('5'!F20&gt;1,"SI","NO")</f>
        <v>NO</v>
      </c>
      <c r="Q63" s="7" t="str">
        <f>+IF('5'!F21&gt;1,"SI","NO")</f>
        <v>NO</v>
      </c>
      <c r="R63" s="7" t="str">
        <f>+IF('5'!F22&gt;1,"SI","NO")</f>
        <v>SI</v>
      </c>
      <c r="S63" s="7" t="str">
        <f>+IF('5'!F23&gt;1,"SI","NO")</f>
        <v>SI</v>
      </c>
      <c r="T63" s="7" t="str">
        <f>+IF('5'!F24&gt;1,"SI","NO")</f>
        <v>SI</v>
      </c>
      <c r="U63" s="7" t="str">
        <f>+IF('5'!F25&gt;1,"SI","NO")</f>
        <v>SI</v>
      </c>
      <c r="V63" s="7" t="str">
        <f>+IF('5'!F26&gt;1,"SI","NO")</f>
        <v>SI</v>
      </c>
      <c r="W63" s="7" t="str">
        <f>+IF('5'!F27&gt;1,"SI","NO")</f>
        <v>NO</v>
      </c>
      <c r="X63" s="7" t="str">
        <f>+IF('5'!F28&gt;1,"SI","NO")</f>
        <v>NO</v>
      </c>
      <c r="Y63" s="7" t="str">
        <f>+IF('5'!F29&gt;1,"SI","NO")</f>
        <v>SI</v>
      </c>
      <c r="Z63" s="7" t="str">
        <f>+IF('5'!F30&gt;1,"SI","NO")</f>
        <v>NO</v>
      </c>
      <c r="AA63" s="7" t="str">
        <f>+IF('5'!F31&gt;1,"SI","NO")</f>
        <v>NO</v>
      </c>
      <c r="AB63" s="7" t="str">
        <f>+IF('5'!F32&gt;1,"SI","NO")</f>
        <v>NO</v>
      </c>
      <c r="AC63" s="7" t="str">
        <f>+IF('5'!F33&gt;1,"SI","NO")</f>
        <v>NO</v>
      </c>
      <c r="AD63" s="7" t="str">
        <f>+IF('5'!F34&gt;1,"SI","NO")</f>
        <v>NO</v>
      </c>
      <c r="AE63" s="7" t="str">
        <f>+IF('5'!F35&gt;1,"SI","NO")</f>
        <v>NO</v>
      </c>
      <c r="AF63" s="7" t="str">
        <f>+IF('5'!F36&gt;1,"SI","NO")</f>
        <v>NO</v>
      </c>
      <c r="AG63" s="7" t="str">
        <f>+IF('5'!F37&gt;1,"SI","NO")</f>
        <v>NO</v>
      </c>
      <c r="AH63" s="7" t="str">
        <f>+IF('5'!F38&gt;1,"SI","NO")</f>
        <v>NO</v>
      </c>
      <c r="AI63" s="7" t="str">
        <f>+IF('5'!F39&gt;1,"SI","NO")</f>
        <v>NO</v>
      </c>
      <c r="AJ63" s="7"/>
      <c r="AK63" s="7">
        <f t="shared" si="2"/>
        <v>12</v>
      </c>
      <c r="AL63" s="9">
        <f t="shared" si="3"/>
        <v>300</v>
      </c>
      <c r="AM63" s="10">
        <f t="shared" si="4"/>
        <v>348</v>
      </c>
    </row>
    <row r="64" spans="1:39" ht="19.95" customHeight="1" x14ac:dyDescent="0.3">
      <c r="A64" s="7">
        <v>8</v>
      </c>
      <c r="B64" s="5" t="s">
        <v>36</v>
      </c>
      <c r="C64" s="5" t="s">
        <v>37</v>
      </c>
      <c r="D64" s="8">
        <v>46113</v>
      </c>
      <c r="E64" s="9">
        <v>25</v>
      </c>
      <c r="F64" s="7" t="str">
        <f>+IF('8'!F10&gt;1,"SI","NO")</f>
        <v>SI</v>
      </c>
      <c r="G64" s="7" t="str">
        <f>+IF('8'!F11&gt;1,"SI","NO")</f>
        <v>SI</v>
      </c>
      <c r="H64" s="7" t="str">
        <f>+IF('8'!F12&gt;1,"SI","NO")</f>
        <v>NO</v>
      </c>
      <c r="I64" s="7" t="str">
        <f>+IF('8'!F13&gt;1,"SI","NO")</f>
        <v>NO</v>
      </c>
      <c r="J64" s="7" t="str">
        <f>+IF('8'!F14&gt;1,"SI","NO")</f>
        <v>NO</v>
      </c>
      <c r="K64" s="7" t="str">
        <f>+IF('8'!F15&gt;1,"SI","NO")</f>
        <v>SI</v>
      </c>
      <c r="L64" s="7" t="str">
        <f>+IF('8'!F16&gt;1,"SI","NO")</f>
        <v>SI</v>
      </c>
      <c r="M64" s="7" t="str">
        <f>+IF('8'!F17&gt;1,"SI","NO")</f>
        <v>SI</v>
      </c>
      <c r="N64" s="7" t="str">
        <f>+IF('8'!F18&gt;1,"SI","NO")</f>
        <v>SI</v>
      </c>
      <c r="O64" s="7" t="str">
        <f>+IF('8'!F19&gt;1,"SI","NO")</f>
        <v>SI</v>
      </c>
      <c r="P64" s="7" t="str">
        <f>+IF('8'!F20&gt;1,"SI","NO")</f>
        <v>NO</v>
      </c>
      <c r="Q64" s="7" t="str">
        <f>+IF('8'!F21&gt;1,"SI","NO")</f>
        <v>NO</v>
      </c>
      <c r="R64" s="7" t="str">
        <f>+IF('8'!F22&gt;1,"SI","NO")</f>
        <v>SI</v>
      </c>
      <c r="S64" s="7" t="str">
        <f>+IF('8'!F23&gt;1,"SI","NO")</f>
        <v>NO</v>
      </c>
      <c r="T64" s="7" t="str">
        <f>+IF('8'!F24&gt;1,"SI","NO")</f>
        <v>SI</v>
      </c>
      <c r="U64" s="7" t="str">
        <f>+IF('8'!F25&gt;1,"SI","NO")</f>
        <v>SI</v>
      </c>
      <c r="V64" s="7" t="str">
        <f>+IF('8'!F26&gt;1,"SI","NO")</f>
        <v>SI</v>
      </c>
      <c r="W64" s="7" t="str">
        <f>+IF('8'!F27&gt;1,"SI","NO")</f>
        <v>NO</v>
      </c>
      <c r="X64" s="7" t="str">
        <f>+IF('8'!F28&gt;1,"SI","NO")</f>
        <v>NO</v>
      </c>
      <c r="Y64" s="7" t="str">
        <f>+IF('8'!F29&gt;1,"SI","NO")</f>
        <v>SI</v>
      </c>
      <c r="Z64" s="7" t="str">
        <f>+IF('8'!F30&gt;1,"SI","NO")</f>
        <v>NO</v>
      </c>
      <c r="AA64" s="7" t="str">
        <f>+IF('8'!F31&gt;1,"SI","NO")</f>
        <v>NO</v>
      </c>
      <c r="AB64" s="7" t="str">
        <f>+IF('8'!F32&gt;1,"SI","NO")</f>
        <v>NO</v>
      </c>
      <c r="AC64" s="7" t="str">
        <f>+IF('8'!F33&gt;1,"SI","NO")</f>
        <v>NO</v>
      </c>
      <c r="AD64" s="7" t="str">
        <f>+IF('8'!F34&gt;1,"SI","NO")</f>
        <v>NO</v>
      </c>
      <c r="AE64" s="7" t="str">
        <f>+IF('8'!F35&gt;1,"SI","NO")</f>
        <v>NO</v>
      </c>
      <c r="AF64" s="7" t="str">
        <f>+IF('8'!F36&gt;1,"SI","NO")</f>
        <v>NO</v>
      </c>
      <c r="AG64" s="7" t="str">
        <f>+IF('8'!F37&gt;1,"SI","NO")</f>
        <v>NO</v>
      </c>
      <c r="AH64" s="7" t="str">
        <f>+IF('8'!F38&gt;1,"SI","NO")</f>
        <v>NO</v>
      </c>
      <c r="AI64" s="7" t="str">
        <f>+IF('8'!F39&gt;1,"SI","NO")</f>
        <v>NO</v>
      </c>
      <c r="AJ64" s="7"/>
      <c r="AK64" s="7">
        <f t="shared" si="2"/>
        <v>12</v>
      </c>
      <c r="AL64" s="9">
        <f t="shared" si="3"/>
        <v>300</v>
      </c>
      <c r="AM64" s="10">
        <f t="shared" si="4"/>
        <v>348</v>
      </c>
    </row>
    <row r="65" spans="1:39" ht="19.95" customHeight="1" x14ac:dyDescent="0.3">
      <c r="A65" s="7">
        <v>9</v>
      </c>
      <c r="B65" s="5" t="s">
        <v>38</v>
      </c>
      <c r="C65" s="5" t="s">
        <v>39</v>
      </c>
      <c r="D65" s="8">
        <v>46113</v>
      </c>
      <c r="E65" s="9">
        <v>25</v>
      </c>
      <c r="F65" s="7" t="str">
        <f>+IF('9'!F10&gt;1,"SI","NO")</f>
        <v>SI</v>
      </c>
      <c r="G65" s="7" t="str">
        <f>+IF('9'!F11&gt;1,"SI","NO")</f>
        <v>SI</v>
      </c>
      <c r="H65" s="7" t="str">
        <f>+IF('9'!F12&gt;1,"SI","NO")</f>
        <v>NO</v>
      </c>
      <c r="I65" s="7" t="str">
        <f>+IF('9'!F13&gt;1,"SI","NO")</f>
        <v>NO</v>
      </c>
      <c r="J65" s="7" t="str">
        <f>+IF('9'!F14&gt;1,"SI","NO")</f>
        <v>NO</v>
      </c>
      <c r="K65" s="7" t="str">
        <f>+IF('9'!F15&gt;1,"SI","NO")</f>
        <v>SI</v>
      </c>
      <c r="L65" s="7" t="str">
        <f>+IF('9'!F16&gt;1,"SI","NO")</f>
        <v>SI</v>
      </c>
      <c r="M65" s="7" t="str">
        <f>+IF('9'!F17&gt;1,"SI","NO")</f>
        <v>SI</v>
      </c>
      <c r="N65" s="7" t="str">
        <f>+IF('9'!F18&gt;1,"SI","NO")</f>
        <v>SI</v>
      </c>
      <c r="O65" s="7" t="str">
        <f>+IF('9'!F19&gt;1,"SI","NO")</f>
        <v>SI</v>
      </c>
      <c r="P65" s="7" t="str">
        <f>+IF('9'!F20&gt;1,"SI","NO")</f>
        <v>NO</v>
      </c>
      <c r="Q65" s="7" t="str">
        <f>+IF('9'!F21&gt;1,"SI","NO")</f>
        <v>NO</v>
      </c>
      <c r="R65" s="7" t="str">
        <f>+IF('9'!F22&gt;1,"SI","NO")</f>
        <v>SI</v>
      </c>
      <c r="S65" s="7" t="str">
        <f>+IF('9'!F23&gt;1,"SI","NO")</f>
        <v>SI</v>
      </c>
      <c r="T65" s="7" t="str">
        <f>+IF('9'!F24&gt;1,"SI","NO")</f>
        <v>SI</v>
      </c>
      <c r="U65" s="7" t="str">
        <f>+IF('9'!F25&gt;1,"SI","NO")</f>
        <v>SI</v>
      </c>
      <c r="V65" s="7" t="str">
        <f>+IF('9'!F26&gt;1,"SI","NO")</f>
        <v>SI</v>
      </c>
      <c r="W65" s="7" t="str">
        <f>+IF('9'!F27&gt;1,"SI","NO")</f>
        <v>NO</v>
      </c>
      <c r="X65" s="7" t="str">
        <f>+IF('9'!F28&gt;1,"SI","NO")</f>
        <v>NO</v>
      </c>
      <c r="Y65" s="7" t="str">
        <f>+IF('9'!F29&gt;1,"SI","NO")</f>
        <v>SI</v>
      </c>
      <c r="Z65" s="7" t="str">
        <f>+IF('9'!F30&gt;1,"SI","NO")</f>
        <v>NO</v>
      </c>
      <c r="AA65" s="7" t="str">
        <f>+IF('9'!F31&gt;1,"SI","NO")</f>
        <v>NO</v>
      </c>
      <c r="AB65" s="7" t="str">
        <f>+IF('9'!F32&gt;1,"SI","NO")</f>
        <v>NO</v>
      </c>
      <c r="AC65" s="7" t="str">
        <f>+IF('9'!F33&gt;1,"SI","NO")</f>
        <v>NO</v>
      </c>
      <c r="AD65" s="7" t="str">
        <f>+IF('9'!F34&gt;1,"SI","NO")</f>
        <v>NO</v>
      </c>
      <c r="AE65" s="7" t="str">
        <f>+IF('9'!F35&gt;1,"SI","NO")</f>
        <v>NO</v>
      </c>
      <c r="AF65" s="7" t="str">
        <f>+IF('9'!F36&gt;1,"SI","NO")</f>
        <v>NO</v>
      </c>
      <c r="AG65" s="7" t="str">
        <f>+IF('9'!F37&gt;1,"SI","NO")</f>
        <v>NO</v>
      </c>
      <c r="AH65" s="7" t="str">
        <f>+IF('9'!F38&gt;1,"SI","NO")</f>
        <v>NO</v>
      </c>
      <c r="AI65" s="7" t="str">
        <f>+IF('9'!F39&gt;1,"SI","NO")</f>
        <v>NO</v>
      </c>
      <c r="AJ65" s="7"/>
      <c r="AK65" s="7">
        <f t="shared" si="2"/>
        <v>13</v>
      </c>
      <c r="AL65" s="9">
        <f t="shared" si="3"/>
        <v>325</v>
      </c>
      <c r="AM65" s="10">
        <f t="shared" si="4"/>
        <v>377</v>
      </c>
    </row>
    <row r="66" spans="1:39" ht="19.95" customHeight="1" x14ac:dyDescent="0.3">
      <c r="A66" s="7">
        <v>12</v>
      </c>
      <c r="B66" s="5" t="s">
        <v>43</v>
      </c>
      <c r="C66" s="5" t="s">
        <v>44</v>
      </c>
      <c r="D66" s="8">
        <v>46113</v>
      </c>
      <c r="E66" s="9">
        <v>25</v>
      </c>
      <c r="F66" s="7" t="str">
        <f>+IF('12'!F10&gt;1,"SI","NO")</f>
        <v>SI</v>
      </c>
      <c r="G66" s="7" t="str">
        <f>+IF('12'!F11&gt;1,"SI","NO")</f>
        <v>SI</v>
      </c>
      <c r="H66" s="7" t="str">
        <f>+IF('12'!F12&gt;1,"SI","NO")</f>
        <v>NO</v>
      </c>
      <c r="I66" s="7" t="str">
        <f>+IF('12'!F13&gt;1,"SI","NO")</f>
        <v>NO</v>
      </c>
      <c r="J66" s="7" t="str">
        <f>+IF('12'!F14&gt;1,"SI","NO")</f>
        <v>NO</v>
      </c>
      <c r="K66" s="7" t="str">
        <f>+IF('12'!F15&gt;1,"SI","NO")</f>
        <v>SI</v>
      </c>
      <c r="L66" s="7" t="str">
        <f>+IF('12'!F16&gt;1,"SI","NO")</f>
        <v>SI</v>
      </c>
      <c r="M66" s="7" t="str">
        <f>+IF('12'!F17&gt;1,"SI","NO")</f>
        <v>SI</v>
      </c>
      <c r="N66" s="7" t="str">
        <f>+IF('12'!F18&gt;1,"SI","NO")</f>
        <v>SI</v>
      </c>
      <c r="O66" s="7" t="str">
        <f>+IF('12'!F19&gt;1,"SI","NO")</f>
        <v>SI</v>
      </c>
      <c r="P66" s="7" t="str">
        <f>+IF('12'!F20&gt;1,"SI","NO")</f>
        <v>SI</v>
      </c>
      <c r="Q66" s="7" t="str">
        <f>+IF('12'!F21&gt;1,"SI","NO")</f>
        <v>NO</v>
      </c>
      <c r="R66" s="7" t="str">
        <f>+IF('12'!F22&gt;1,"SI","NO")</f>
        <v>SI</v>
      </c>
      <c r="S66" s="7" t="str">
        <f>+IF('12'!F23&gt;1,"SI","NO")</f>
        <v>SI</v>
      </c>
      <c r="T66" s="7" t="str">
        <f>+IF('12'!F24&gt;1,"SI","NO")</f>
        <v>SI</v>
      </c>
      <c r="U66" s="7" t="str">
        <f>+IF('12'!F25&gt;1,"SI","NO")</f>
        <v>SI</v>
      </c>
      <c r="V66" s="7" t="str">
        <f>+IF('12'!F26&gt;1,"SI","NO")</f>
        <v>SI</v>
      </c>
      <c r="W66" s="7" t="str">
        <f>+IF('12'!F27&gt;1,"SI","NO")</f>
        <v>SI</v>
      </c>
      <c r="X66" s="7" t="str">
        <f>+IF('12'!F28&gt;1,"SI","NO")</f>
        <v>NO</v>
      </c>
      <c r="Y66" s="7" t="str">
        <f>+IF('12'!F29&gt;1,"SI","NO")</f>
        <v>SI</v>
      </c>
      <c r="Z66" s="7" t="str">
        <f>+IF('12'!F30&gt;1,"SI","NO")</f>
        <v>NO</v>
      </c>
      <c r="AA66" s="7" t="str">
        <f>+IF('12'!F31&gt;1,"SI","NO")</f>
        <v>NO</v>
      </c>
      <c r="AB66" s="7" t="str">
        <f>+IF('12'!F32&gt;1,"SI","NO")</f>
        <v>NO</v>
      </c>
      <c r="AC66" s="7" t="str">
        <f>+IF('12'!F33&gt;1,"SI","NO")</f>
        <v>NO</v>
      </c>
      <c r="AD66" s="7" t="str">
        <f>+IF('12'!F34&gt;1,"SI","NO")</f>
        <v>NO</v>
      </c>
      <c r="AE66" s="7" t="str">
        <f>+IF('12'!F35&gt;1,"SI","NO")</f>
        <v>NO</v>
      </c>
      <c r="AF66" s="7" t="str">
        <f>+IF('12'!F36&gt;1,"SI","NO")</f>
        <v>NO</v>
      </c>
      <c r="AG66" s="7" t="str">
        <f>+IF('12'!F37&gt;1,"SI","NO")</f>
        <v>NO</v>
      </c>
      <c r="AH66" s="7" t="str">
        <f>+IF('12'!F38&gt;1,"SI","NO")</f>
        <v>NO</v>
      </c>
      <c r="AI66" s="7" t="str">
        <f>+IF('12'!F39&gt;1,"SI","NO")</f>
        <v>NO</v>
      </c>
      <c r="AJ66" s="7"/>
      <c r="AK66" s="7">
        <f t="shared" si="2"/>
        <v>15</v>
      </c>
      <c r="AL66" s="9">
        <f t="shared" si="3"/>
        <v>375</v>
      </c>
      <c r="AM66" s="10">
        <f t="shared" si="4"/>
        <v>434.99999999999994</v>
      </c>
    </row>
    <row r="67" spans="1:39" x14ac:dyDescent="0.3">
      <c r="AM67" s="10">
        <f>SUM(AM61:AM66)</f>
        <v>2233</v>
      </c>
    </row>
    <row r="69" spans="1:39" ht="25.8" customHeight="1" x14ac:dyDescent="0.3">
      <c r="W69" s="30" t="s">
        <v>60</v>
      </c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37">
        <f>+AM26+P37+AM36+AM46+AM55+AM67</f>
        <v>142627.48431479555</v>
      </c>
      <c r="AM69" s="23"/>
    </row>
    <row r="71" spans="1:39" ht="23.4" customHeight="1" x14ac:dyDescent="0.3">
      <c r="W71" s="24" t="str">
        <f>"Son : " &amp; TEXT(AL69,"#,##0.00") &amp; " Bolivianos"</f>
        <v>Son : 142,627.48 Bolivianos</v>
      </c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</row>
    <row r="73" spans="1:39" x14ac:dyDescent="0.3">
      <c r="C73" s="32"/>
      <c r="D73" s="23"/>
      <c r="E73" s="23"/>
      <c r="F73" s="23"/>
      <c r="G73" s="23"/>
      <c r="H73" s="23"/>
      <c r="I73" s="23"/>
      <c r="J73" s="23"/>
      <c r="K73" s="23"/>
      <c r="L73" s="23"/>
      <c r="M73" s="23"/>
      <c r="O73" s="32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C73" s="32"/>
      <c r="AD73" s="23"/>
      <c r="AE73" s="23"/>
      <c r="AF73" s="23"/>
      <c r="AG73" s="23"/>
      <c r="AH73" s="23"/>
      <c r="AI73" s="23"/>
      <c r="AJ73" s="23"/>
      <c r="AK73" s="23"/>
      <c r="AL73" s="23"/>
      <c r="AM73" s="23"/>
    </row>
    <row r="74" spans="1:39" x14ac:dyDescent="0.3"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</row>
    <row r="75" spans="1:39" x14ac:dyDescent="0.3"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</row>
    <row r="76" spans="1:39" x14ac:dyDescent="0.3"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</row>
    <row r="77" spans="1:39" ht="14.4" customHeight="1" x14ac:dyDescent="0.3">
      <c r="C77" s="38" t="s">
        <v>61</v>
      </c>
      <c r="D77" s="23"/>
      <c r="E77" s="23"/>
      <c r="F77" s="23"/>
      <c r="G77" s="23"/>
      <c r="H77" s="23"/>
      <c r="I77" s="23"/>
      <c r="J77" s="23"/>
      <c r="K77" s="23"/>
      <c r="L77" s="23"/>
      <c r="M77" s="23"/>
      <c r="O77" s="38" t="s">
        <v>62</v>
      </c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C77" s="38" t="s">
        <v>62</v>
      </c>
      <c r="AD77" s="23"/>
      <c r="AE77" s="23"/>
      <c r="AF77" s="23"/>
      <c r="AG77" s="23"/>
      <c r="AH77" s="23"/>
      <c r="AI77" s="23"/>
      <c r="AJ77" s="23"/>
      <c r="AK77" s="23"/>
      <c r="AL77" s="23"/>
      <c r="AM77" s="23"/>
    </row>
    <row r="78" spans="1:39" ht="14.4" customHeight="1" x14ac:dyDescent="0.3"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</row>
  </sheetData>
  <mergeCells count="112">
    <mergeCell ref="AA5:AK6"/>
    <mergeCell ref="C30:C31"/>
    <mergeCell ref="K32:M32"/>
    <mergeCell ref="B12:B13"/>
    <mergeCell ref="D1:AK2"/>
    <mergeCell ref="W30:AI31"/>
    <mergeCell ref="C41:C42"/>
    <mergeCell ref="Y7:AK8"/>
    <mergeCell ref="N30:O31"/>
    <mergeCell ref="AK41:AK42"/>
    <mergeCell ref="A39:AK39"/>
    <mergeCell ref="D12:D13"/>
    <mergeCell ref="A12:A13"/>
    <mergeCell ref="E3:V4"/>
    <mergeCell ref="A28:S28"/>
    <mergeCell ref="E5:V6"/>
    <mergeCell ref="U30:V31"/>
    <mergeCell ref="P36:S36"/>
    <mergeCell ref="H35:J35"/>
    <mergeCell ref="B30:B31"/>
    <mergeCell ref="K33:M33"/>
    <mergeCell ref="D30:D31"/>
    <mergeCell ref="F35:G35"/>
    <mergeCell ref="C77:M78"/>
    <mergeCell ref="A1:C8"/>
    <mergeCell ref="F7:V8"/>
    <mergeCell ref="E41:E42"/>
    <mergeCell ref="K34:M34"/>
    <mergeCell ref="E50:E51"/>
    <mergeCell ref="AM50:AM51"/>
    <mergeCell ref="A10:AM10"/>
    <mergeCell ref="AC77:AM78"/>
    <mergeCell ref="F59:AJ59"/>
    <mergeCell ref="F12:AJ12"/>
    <mergeCell ref="E12:E13"/>
    <mergeCell ref="K36:M36"/>
    <mergeCell ref="P30:S31"/>
    <mergeCell ref="A59:A60"/>
    <mergeCell ref="O73:AA76"/>
    <mergeCell ref="B59:B60"/>
    <mergeCell ref="P32:S32"/>
    <mergeCell ref="AK12:AK13"/>
    <mergeCell ref="O77:AA78"/>
    <mergeCell ref="Y3:AK4"/>
    <mergeCell ref="N35:O35"/>
    <mergeCell ref="AL12:AL13"/>
    <mergeCell ref="H33:J33"/>
    <mergeCell ref="C73:M76"/>
    <mergeCell ref="AL2:AM7"/>
    <mergeCell ref="K35:M35"/>
    <mergeCell ref="AL50:AL51"/>
    <mergeCell ref="U28:AM28"/>
    <mergeCell ref="P37:S37"/>
    <mergeCell ref="N32:O32"/>
    <mergeCell ref="C50:C51"/>
    <mergeCell ref="AJ30:AK31"/>
    <mergeCell ref="C59:C60"/>
    <mergeCell ref="E59:E60"/>
    <mergeCell ref="H32:J32"/>
    <mergeCell ref="C12:C13"/>
    <mergeCell ref="D41:D42"/>
    <mergeCell ref="N33:O33"/>
    <mergeCell ref="F36:G36"/>
    <mergeCell ref="E30:E31"/>
    <mergeCell ref="A57:AK57"/>
    <mergeCell ref="AM41:AM42"/>
    <mergeCell ref="AL69:AM69"/>
    <mergeCell ref="H36:J36"/>
    <mergeCell ref="AL30:AL31"/>
    <mergeCell ref="AC73:AM76"/>
    <mergeCell ref="F32:G32"/>
    <mergeCell ref="AK50:AK51"/>
    <mergeCell ref="AK59:AK60"/>
    <mergeCell ref="A48:AK48"/>
    <mergeCell ref="A30:A31"/>
    <mergeCell ref="F34:G34"/>
    <mergeCell ref="H30:J31"/>
    <mergeCell ref="AM59:AM60"/>
    <mergeCell ref="P33:S33"/>
    <mergeCell ref="AL41:AL42"/>
    <mergeCell ref="AM30:AM31"/>
    <mergeCell ref="K30:M31"/>
    <mergeCell ref="F33:G33"/>
    <mergeCell ref="P35:S35"/>
    <mergeCell ref="A41:A42"/>
    <mergeCell ref="A50:A51"/>
    <mergeCell ref="D59:D60"/>
    <mergeCell ref="P34:S34"/>
    <mergeCell ref="AM12:AM13"/>
    <mergeCell ref="AL8:AM8"/>
    <mergeCell ref="W71:AM71"/>
    <mergeCell ref="N34:O34"/>
    <mergeCell ref="B41:B42"/>
    <mergeCell ref="F41:AJ41"/>
    <mergeCell ref="B50:B51"/>
    <mergeCell ref="F50:AJ50"/>
    <mergeCell ref="D50:D51"/>
    <mergeCell ref="N36:O36"/>
    <mergeCell ref="W32:AI33"/>
    <mergeCell ref="W34:AI35"/>
    <mergeCell ref="U32:V33"/>
    <mergeCell ref="U34:V35"/>
    <mergeCell ref="AJ32:AK33"/>
    <mergeCell ref="AL32:AL33"/>
    <mergeCell ref="AM32:AM33"/>
    <mergeCell ref="AM34:AM35"/>
    <mergeCell ref="AL34:AL35"/>
    <mergeCell ref="AJ34:AK35"/>
    <mergeCell ref="W69:AK69"/>
    <mergeCell ref="H34:J34"/>
    <mergeCell ref="AL59:AL60"/>
    <mergeCell ref="F30:G31"/>
  </mergeCells>
  <conditionalFormatting sqref="F14:AI25">
    <cfRule type="cellIs" dxfId="2" priority="3" operator="equal">
      <formula>"SI"</formula>
    </cfRule>
  </conditionalFormatting>
  <conditionalFormatting sqref="F43:AI45">
    <cfRule type="cellIs" dxfId="1" priority="2" operator="equal">
      <formula>"SI"</formula>
    </cfRule>
  </conditionalFormatting>
  <conditionalFormatting sqref="F52:AI54 F61:AI66">
    <cfRule type="cellIs" dxfId="0" priority="1" operator="equal">
      <formula>"SI"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42"/>
  <sheetViews>
    <sheetView workbookViewId="0">
      <selection activeCell="C12" sqref="C12:E12"/>
    </sheetView>
  </sheetViews>
  <sheetFormatPr defaultRowHeight="14.4" x14ac:dyDescent="0.3"/>
  <cols>
    <col min="1" max="1" width="15.88671875" customWidth="1"/>
    <col min="2" max="2" width="14.33203125" customWidth="1"/>
    <col min="3" max="3" width="14.109375" customWidth="1"/>
    <col min="4" max="4" width="12.33203125" customWidth="1"/>
    <col min="5" max="5" width="13" customWidth="1"/>
    <col min="6" max="6" width="14.88671875" customWidth="1"/>
    <col min="7" max="7" width="17.44140625" customWidth="1"/>
    <col min="8" max="8" width="19.77734375" bestFit="1" customWidth="1"/>
  </cols>
  <sheetData>
    <row r="2" spans="1:8" x14ac:dyDescent="0.3">
      <c r="A2" s="22" t="s">
        <v>63</v>
      </c>
      <c r="B2" s="23"/>
      <c r="C2" s="23"/>
      <c r="D2" s="23"/>
      <c r="E2" s="23"/>
      <c r="F2" s="23"/>
      <c r="G2" s="23"/>
      <c r="H2" s="23"/>
    </row>
    <row r="3" spans="1:8" ht="4.8" customHeight="1" x14ac:dyDescent="0.3"/>
    <row r="4" spans="1:8" x14ac:dyDescent="0.3">
      <c r="A4" s="16" t="s">
        <v>13</v>
      </c>
      <c r="B4" s="17">
        <v>1</v>
      </c>
    </row>
    <row r="5" spans="1:8" x14ac:dyDescent="0.3">
      <c r="A5" s="16" t="s">
        <v>14</v>
      </c>
      <c r="B5" s="17" t="s">
        <v>22</v>
      </c>
    </row>
    <row r="6" spans="1:8" x14ac:dyDescent="0.3">
      <c r="A6" s="16" t="s">
        <v>15</v>
      </c>
      <c r="B6" s="17" t="s">
        <v>23</v>
      </c>
    </row>
    <row r="7" spans="1:8" x14ac:dyDescent="0.3">
      <c r="A7" s="16" t="s">
        <v>17</v>
      </c>
      <c r="B7" s="18">
        <v>9500</v>
      </c>
      <c r="C7" t="s">
        <v>76</v>
      </c>
    </row>
    <row r="8" spans="1:8" ht="4.8" customHeight="1" x14ac:dyDescent="0.3"/>
    <row r="9" spans="1:8" ht="28.8" x14ac:dyDescent="0.3">
      <c r="A9" s="6" t="s">
        <v>64</v>
      </c>
      <c r="B9" s="6" t="s">
        <v>65</v>
      </c>
      <c r="C9" s="6" t="s">
        <v>66</v>
      </c>
      <c r="D9" s="6" t="s">
        <v>67</v>
      </c>
      <c r="E9" s="6" t="s">
        <v>68</v>
      </c>
      <c r="F9" s="6" t="s">
        <v>69</v>
      </c>
      <c r="G9" s="6" t="s">
        <v>70</v>
      </c>
      <c r="H9" s="6" t="s">
        <v>71</v>
      </c>
    </row>
    <row r="10" spans="1:8" x14ac:dyDescent="0.3">
      <c r="A10" s="19">
        <v>46113</v>
      </c>
      <c r="B10" s="12">
        <f t="shared" ref="B10:B39" si="0">+A10</f>
        <v>46113</v>
      </c>
      <c r="C10" s="13">
        <v>0.33333333333333331</v>
      </c>
      <c r="D10" s="13">
        <v>0.70833333333333337</v>
      </c>
      <c r="E10" s="7">
        <v>1</v>
      </c>
      <c r="F10" s="14">
        <f t="shared" ref="F10:F39" si="1">+(D10-C10)*24-E10</f>
        <v>8.0000000000000018</v>
      </c>
      <c r="G10" s="15" t="str">
        <f t="shared" ref="G10:G39" si="2">+IF(C10&gt;0.333333333333333,+(C10-0.333333333333333)*24*60,"0")</f>
        <v>0</v>
      </c>
      <c r="H10" s="3"/>
    </row>
    <row r="11" spans="1:8" x14ac:dyDescent="0.3">
      <c r="A11" s="19">
        <v>46114</v>
      </c>
      <c r="B11" s="12">
        <f t="shared" si="0"/>
        <v>46114</v>
      </c>
      <c r="C11" s="13">
        <v>0.33333333333333331</v>
      </c>
      <c r="D11" s="13">
        <v>0.70833333333333337</v>
      </c>
      <c r="E11" s="7">
        <v>1</v>
      </c>
      <c r="F11" s="14">
        <f t="shared" si="1"/>
        <v>8.0000000000000018</v>
      </c>
      <c r="G11" s="15" t="str">
        <f t="shared" si="2"/>
        <v>0</v>
      </c>
      <c r="H11" s="3"/>
    </row>
    <row r="12" spans="1:8" x14ac:dyDescent="0.3">
      <c r="A12" s="19">
        <v>46115</v>
      </c>
      <c r="B12" s="12">
        <f t="shared" si="0"/>
        <v>46115</v>
      </c>
      <c r="C12" s="13"/>
      <c r="D12" s="13"/>
      <c r="E12" s="7"/>
      <c r="F12" s="14">
        <f t="shared" si="1"/>
        <v>0</v>
      </c>
      <c r="G12" s="15" t="str">
        <f t="shared" si="2"/>
        <v>0</v>
      </c>
      <c r="H12" s="3" t="s">
        <v>72</v>
      </c>
    </row>
    <row r="13" spans="1:8" x14ac:dyDescent="0.3">
      <c r="A13" s="19">
        <v>46116</v>
      </c>
      <c r="B13" s="12">
        <f t="shared" si="0"/>
        <v>46116</v>
      </c>
      <c r="C13" s="13"/>
      <c r="D13" s="13"/>
      <c r="E13" s="7"/>
      <c r="F13" s="14">
        <f t="shared" si="1"/>
        <v>0</v>
      </c>
      <c r="G13" s="15" t="str">
        <f t="shared" si="2"/>
        <v>0</v>
      </c>
      <c r="H13" s="3"/>
    </row>
    <row r="14" spans="1:8" x14ac:dyDescent="0.3">
      <c r="A14" s="19">
        <v>46117</v>
      </c>
      <c r="B14" s="12">
        <f t="shared" si="0"/>
        <v>46117</v>
      </c>
      <c r="C14" s="13"/>
      <c r="D14" s="13"/>
      <c r="E14" s="7"/>
      <c r="F14" s="14">
        <f t="shared" si="1"/>
        <v>0</v>
      </c>
      <c r="G14" s="15" t="str">
        <f t="shared" si="2"/>
        <v>0</v>
      </c>
      <c r="H14" s="3"/>
    </row>
    <row r="15" spans="1:8" x14ac:dyDescent="0.3">
      <c r="A15" s="19">
        <v>46118</v>
      </c>
      <c r="B15" s="12">
        <f t="shared" si="0"/>
        <v>46118</v>
      </c>
      <c r="C15" s="13">
        <v>0.35972222222222222</v>
      </c>
      <c r="D15" s="13">
        <v>0.77083333333333337</v>
      </c>
      <c r="E15" s="7">
        <v>1</v>
      </c>
      <c r="F15" s="14">
        <f t="shared" si="1"/>
        <v>8.8666666666666671</v>
      </c>
      <c r="G15" s="15">
        <f t="shared" si="2"/>
        <v>38.000000000000504</v>
      </c>
      <c r="H15" s="3"/>
    </row>
    <row r="16" spans="1:8" x14ac:dyDescent="0.3">
      <c r="A16" s="19">
        <v>46119</v>
      </c>
      <c r="B16" s="12">
        <f t="shared" si="0"/>
        <v>46119</v>
      </c>
      <c r="C16" s="13">
        <v>0.3263888888888889</v>
      </c>
      <c r="D16" s="13">
        <v>0.76249999999999996</v>
      </c>
      <c r="E16" s="7">
        <v>1</v>
      </c>
      <c r="F16" s="14">
        <f t="shared" si="1"/>
        <v>9.466666666666665</v>
      </c>
      <c r="G16" s="15" t="str">
        <f t="shared" si="2"/>
        <v>0</v>
      </c>
      <c r="H16" s="3"/>
    </row>
    <row r="17" spans="1:8" x14ac:dyDescent="0.3">
      <c r="A17" s="19">
        <v>46120</v>
      </c>
      <c r="B17" s="12">
        <f t="shared" si="0"/>
        <v>46120</v>
      </c>
      <c r="C17" s="13">
        <v>0.33680555555555558</v>
      </c>
      <c r="D17" s="13">
        <v>0.7895833333333333</v>
      </c>
      <c r="E17" s="7">
        <v>1</v>
      </c>
      <c r="F17" s="14">
        <f t="shared" si="1"/>
        <v>9.8666666666666654</v>
      </c>
      <c r="G17" s="15">
        <f t="shared" si="2"/>
        <v>5.0000000000005418</v>
      </c>
      <c r="H17" s="3"/>
    </row>
    <row r="18" spans="1:8" x14ac:dyDescent="0.3">
      <c r="A18" s="19">
        <v>46121</v>
      </c>
      <c r="B18" s="12">
        <f t="shared" si="0"/>
        <v>46121</v>
      </c>
      <c r="C18" s="13">
        <v>0.32361111111111113</v>
      </c>
      <c r="D18" s="13">
        <v>0.7680555555555556</v>
      </c>
      <c r="E18" s="7">
        <v>1</v>
      </c>
      <c r="F18" s="14">
        <f t="shared" si="1"/>
        <v>9.6666666666666679</v>
      </c>
      <c r="G18" s="15" t="str">
        <f t="shared" si="2"/>
        <v>0</v>
      </c>
      <c r="H18" s="3"/>
    </row>
    <row r="19" spans="1:8" x14ac:dyDescent="0.3">
      <c r="A19" s="19">
        <v>46122</v>
      </c>
      <c r="B19" s="12">
        <f t="shared" si="0"/>
        <v>46122</v>
      </c>
      <c r="C19" s="13">
        <v>0.3215277777777778</v>
      </c>
      <c r="D19" s="13">
        <v>0.76527777777777772</v>
      </c>
      <c r="E19" s="7">
        <v>1</v>
      </c>
      <c r="F19" s="14">
        <f t="shared" si="1"/>
        <v>9.6499999999999986</v>
      </c>
      <c r="G19" s="15" t="str">
        <f t="shared" si="2"/>
        <v>0</v>
      </c>
      <c r="H19" s="3"/>
    </row>
    <row r="20" spans="1:8" x14ac:dyDescent="0.3">
      <c r="A20" s="19">
        <v>46123</v>
      </c>
      <c r="B20" s="12">
        <f t="shared" si="0"/>
        <v>46123</v>
      </c>
      <c r="C20" s="13"/>
      <c r="D20" s="13"/>
      <c r="E20" s="7"/>
      <c r="F20" s="14">
        <f t="shared" si="1"/>
        <v>0</v>
      </c>
      <c r="G20" s="15" t="str">
        <f t="shared" si="2"/>
        <v>0</v>
      </c>
      <c r="H20" s="3"/>
    </row>
    <row r="21" spans="1:8" x14ac:dyDescent="0.3">
      <c r="A21" s="19">
        <v>46124</v>
      </c>
      <c r="B21" s="12">
        <f t="shared" si="0"/>
        <v>46124</v>
      </c>
      <c r="C21" s="13"/>
      <c r="D21" s="13"/>
      <c r="E21" s="7"/>
      <c r="F21" s="14">
        <f t="shared" si="1"/>
        <v>0</v>
      </c>
      <c r="G21" s="15" t="str">
        <f t="shared" si="2"/>
        <v>0</v>
      </c>
      <c r="H21" s="3"/>
    </row>
    <row r="22" spans="1:8" x14ac:dyDescent="0.3">
      <c r="A22" s="19">
        <v>46125</v>
      </c>
      <c r="B22" s="12">
        <f t="shared" si="0"/>
        <v>46125</v>
      </c>
      <c r="C22" s="13">
        <v>0.32569444444444451</v>
      </c>
      <c r="D22" s="13">
        <v>0.75277777777777777</v>
      </c>
      <c r="E22" s="7">
        <v>1</v>
      </c>
      <c r="F22" s="14">
        <f t="shared" si="1"/>
        <v>9.2499999999999982</v>
      </c>
      <c r="G22" s="15" t="str">
        <f t="shared" si="2"/>
        <v>0</v>
      </c>
      <c r="H22" s="3"/>
    </row>
    <row r="23" spans="1:8" x14ac:dyDescent="0.3">
      <c r="A23" s="19">
        <v>46126</v>
      </c>
      <c r="B23" s="12">
        <f t="shared" si="0"/>
        <v>46126</v>
      </c>
      <c r="C23" s="13">
        <v>0.3347222222222222</v>
      </c>
      <c r="D23" s="13">
        <v>0.77500000000000002</v>
      </c>
      <c r="E23" s="7">
        <v>1</v>
      </c>
      <c r="F23" s="14">
        <f t="shared" si="1"/>
        <v>9.5666666666666682</v>
      </c>
      <c r="G23" s="15">
        <f t="shared" si="2"/>
        <v>2.0000000000004725</v>
      </c>
      <c r="H23" s="3"/>
    </row>
    <row r="24" spans="1:8" x14ac:dyDescent="0.3">
      <c r="A24" s="19">
        <v>46127</v>
      </c>
      <c r="B24" s="12">
        <f t="shared" si="0"/>
        <v>46127</v>
      </c>
      <c r="C24" s="13">
        <v>0.32291666666666669</v>
      </c>
      <c r="D24" s="13">
        <v>0.75416666666666665</v>
      </c>
      <c r="E24" s="7">
        <v>1</v>
      </c>
      <c r="F24" s="14">
        <f t="shared" si="1"/>
        <v>9.35</v>
      </c>
      <c r="G24" s="15" t="str">
        <f t="shared" si="2"/>
        <v>0</v>
      </c>
      <c r="H24" s="3"/>
    </row>
    <row r="25" spans="1:8" x14ac:dyDescent="0.3">
      <c r="A25" s="19">
        <v>46128</v>
      </c>
      <c r="B25" s="12">
        <f t="shared" si="0"/>
        <v>46128</v>
      </c>
      <c r="C25" s="13">
        <v>0.3298611111111111</v>
      </c>
      <c r="D25" s="13">
        <v>0.7583333333333333</v>
      </c>
      <c r="E25" s="7">
        <v>1</v>
      </c>
      <c r="F25" s="14">
        <f t="shared" si="1"/>
        <v>9.2833333333333332</v>
      </c>
      <c r="G25" s="15" t="str">
        <f t="shared" si="2"/>
        <v>0</v>
      </c>
      <c r="H25" s="3"/>
    </row>
    <row r="26" spans="1:8" x14ac:dyDescent="0.3">
      <c r="A26" s="19">
        <v>46129</v>
      </c>
      <c r="B26" s="12">
        <f t="shared" si="0"/>
        <v>46129</v>
      </c>
      <c r="C26" s="13">
        <v>0.32916666666666672</v>
      </c>
      <c r="D26" s="13">
        <v>0.75763888888888886</v>
      </c>
      <c r="E26" s="7">
        <v>1</v>
      </c>
      <c r="F26" s="14">
        <f t="shared" si="1"/>
        <v>9.2833333333333314</v>
      </c>
      <c r="G26" s="15" t="str">
        <f t="shared" si="2"/>
        <v>0</v>
      </c>
      <c r="H26" s="3"/>
    </row>
    <row r="27" spans="1:8" x14ac:dyDescent="0.3">
      <c r="A27" s="19">
        <v>46130</v>
      </c>
      <c r="B27" s="12">
        <f t="shared" si="0"/>
        <v>46130</v>
      </c>
      <c r="C27" s="13">
        <v>0.36249999999999999</v>
      </c>
      <c r="D27" s="13">
        <v>0.45902777777777781</v>
      </c>
      <c r="E27" s="7">
        <v>1</v>
      </c>
      <c r="F27" s="14">
        <f t="shared" si="1"/>
        <v>1.3166666666666678</v>
      </c>
      <c r="G27" s="15">
        <f t="shared" si="2"/>
        <v>42.00000000000049</v>
      </c>
      <c r="H27" s="3"/>
    </row>
    <row r="28" spans="1:8" x14ac:dyDescent="0.3">
      <c r="A28" s="19">
        <v>46131</v>
      </c>
      <c r="B28" s="12">
        <f t="shared" si="0"/>
        <v>46131</v>
      </c>
      <c r="C28" s="13"/>
      <c r="D28" s="13"/>
      <c r="E28" s="7"/>
      <c r="F28" s="14">
        <f t="shared" si="1"/>
        <v>0</v>
      </c>
      <c r="G28" s="15" t="str">
        <f t="shared" si="2"/>
        <v>0</v>
      </c>
      <c r="H28" s="3"/>
    </row>
    <row r="29" spans="1:8" x14ac:dyDescent="0.3">
      <c r="A29" s="19">
        <v>46132</v>
      </c>
      <c r="B29" s="12">
        <f t="shared" si="0"/>
        <v>46132</v>
      </c>
      <c r="C29" s="13">
        <v>0.34652777777777782</v>
      </c>
      <c r="D29" s="13">
        <v>0.78194444444444444</v>
      </c>
      <c r="E29" s="7">
        <v>1</v>
      </c>
      <c r="F29" s="14">
        <f t="shared" si="1"/>
        <v>9.4499999999999993</v>
      </c>
      <c r="G29" s="15">
        <f t="shared" si="2"/>
        <v>19.000000000000572</v>
      </c>
      <c r="H29" s="3"/>
    </row>
    <row r="30" spans="1:8" x14ac:dyDescent="0.3">
      <c r="A30" s="19">
        <v>46133</v>
      </c>
      <c r="B30" s="12">
        <f t="shared" si="0"/>
        <v>46133</v>
      </c>
      <c r="C30" s="13"/>
      <c r="D30" s="13"/>
      <c r="E30" s="7"/>
      <c r="F30" s="14">
        <f t="shared" si="1"/>
        <v>0</v>
      </c>
      <c r="G30" s="15" t="str">
        <f t="shared" si="2"/>
        <v>0</v>
      </c>
      <c r="H30" s="3"/>
    </row>
    <row r="31" spans="1:8" x14ac:dyDescent="0.3">
      <c r="A31" s="19">
        <v>46134</v>
      </c>
      <c r="B31" s="12">
        <f t="shared" si="0"/>
        <v>46134</v>
      </c>
      <c r="C31" s="13"/>
      <c r="D31" s="13"/>
      <c r="E31" s="7"/>
      <c r="F31" s="14">
        <f t="shared" si="1"/>
        <v>0</v>
      </c>
      <c r="G31" s="15" t="str">
        <f t="shared" si="2"/>
        <v>0</v>
      </c>
      <c r="H31" s="3"/>
    </row>
    <row r="32" spans="1:8" x14ac:dyDescent="0.3">
      <c r="A32" s="19">
        <v>46135</v>
      </c>
      <c r="B32" s="12">
        <f t="shared" si="0"/>
        <v>46135</v>
      </c>
      <c r="C32" s="13"/>
      <c r="D32" s="13"/>
      <c r="E32" s="7"/>
      <c r="F32" s="14">
        <f t="shared" si="1"/>
        <v>0</v>
      </c>
      <c r="G32" s="15" t="str">
        <f t="shared" si="2"/>
        <v>0</v>
      </c>
      <c r="H32" s="3"/>
    </row>
    <row r="33" spans="1:8" x14ac:dyDescent="0.3">
      <c r="A33" s="19">
        <v>46136</v>
      </c>
      <c r="B33" s="12">
        <f t="shared" si="0"/>
        <v>46136</v>
      </c>
      <c r="C33" s="13"/>
      <c r="D33" s="13"/>
      <c r="E33" s="7"/>
      <c r="F33" s="14">
        <f t="shared" si="1"/>
        <v>0</v>
      </c>
      <c r="G33" s="15" t="str">
        <f t="shared" si="2"/>
        <v>0</v>
      </c>
      <c r="H33" s="3"/>
    </row>
    <row r="34" spans="1:8" x14ac:dyDescent="0.3">
      <c r="A34" s="19">
        <v>46137</v>
      </c>
      <c r="B34" s="12">
        <f t="shared" si="0"/>
        <v>46137</v>
      </c>
      <c r="C34" s="13"/>
      <c r="D34" s="13"/>
      <c r="E34" s="7"/>
      <c r="F34" s="14">
        <f t="shared" si="1"/>
        <v>0</v>
      </c>
      <c r="G34" s="15" t="str">
        <f t="shared" si="2"/>
        <v>0</v>
      </c>
      <c r="H34" s="3"/>
    </row>
    <row r="35" spans="1:8" x14ac:dyDescent="0.3">
      <c r="A35" s="19">
        <v>46138</v>
      </c>
      <c r="B35" s="12">
        <f t="shared" si="0"/>
        <v>46138</v>
      </c>
      <c r="C35" s="13"/>
      <c r="D35" s="13"/>
      <c r="E35" s="7"/>
      <c r="F35" s="14">
        <f t="shared" si="1"/>
        <v>0</v>
      </c>
      <c r="G35" s="15" t="str">
        <f t="shared" si="2"/>
        <v>0</v>
      </c>
      <c r="H35" s="3"/>
    </row>
    <row r="36" spans="1:8" x14ac:dyDescent="0.3">
      <c r="A36" s="19">
        <v>46139</v>
      </c>
      <c r="B36" s="12">
        <f t="shared" si="0"/>
        <v>46139</v>
      </c>
      <c r="C36" s="13"/>
      <c r="D36" s="13"/>
      <c r="E36" s="7"/>
      <c r="F36" s="14">
        <f t="shared" si="1"/>
        <v>0</v>
      </c>
      <c r="G36" s="15" t="str">
        <f t="shared" si="2"/>
        <v>0</v>
      </c>
      <c r="H36" s="3"/>
    </row>
    <row r="37" spans="1:8" x14ac:dyDescent="0.3">
      <c r="A37" s="19">
        <v>46140</v>
      </c>
      <c r="B37" s="12">
        <f t="shared" si="0"/>
        <v>46140</v>
      </c>
      <c r="C37" s="13"/>
      <c r="D37" s="13"/>
      <c r="E37" s="7"/>
      <c r="F37" s="14">
        <f t="shared" si="1"/>
        <v>0</v>
      </c>
      <c r="G37" s="15" t="str">
        <f t="shared" si="2"/>
        <v>0</v>
      </c>
      <c r="H37" s="3"/>
    </row>
    <row r="38" spans="1:8" x14ac:dyDescent="0.3">
      <c r="A38" s="19">
        <v>46141</v>
      </c>
      <c r="B38" s="12">
        <f t="shared" si="0"/>
        <v>46141</v>
      </c>
      <c r="C38" s="13"/>
      <c r="D38" s="13"/>
      <c r="E38" s="7"/>
      <c r="F38" s="14">
        <f t="shared" si="1"/>
        <v>0</v>
      </c>
      <c r="G38" s="15" t="str">
        <f t="shared" si="2"/>
        <v>0</v>
      </c>
      <c r="H38" s="3"/>
    </row>
    <row r="39" spans="1:8" x14ac:dyDescent="0.3">
      <c r="A39" s="19">
        <v>46142</v>
      </c>
      <c r="B39" s="12">
        <f t="shared" si="0"/>
        <v>46142</v>
      </c>
      <c r="C39" s="13"/>
      <c r="D39" s="13"/>
      <c r="E39" s="7"/>
      <c r="F39" s="14">
        <f t="shared" si="1"/>
        <v>0</v>
      </c>
      <c r="G39" s="15" t="str">
        <f t="shared" si="2"/>
        <v>0</v>
      </c>
      <c r="H39" s="3"/>
    </row>
    <row r="40" spans="1:8" x14ac:dyDescent="0.3">
      <c r="A40" s="44" t="s">
        <v>73</v>
      </c>
      <c r="B40" s="23"/>
      <c r="C40" s="45">
        <f>+COUNT(C10:C39)</f>
        <v>14</v>
      </c>
      <c r="D40" s="23"/>
      <c r="E40" s="23"/>
      <c r="F40" s="23"/>
      <c r="G40" s="23"/>
    </row>
    <row r="41" spans="1:8" x14ac:dyDescent="0.3">
      <c r="A41" s="44" t="s">
        <v>74</v>
      </c>
      <c r="B41" s="23"/>
      <c r="C41" s="46">
        <f>SUM(F10:F39)</f>
        <v>121.01666666666665</v>
      </c>
      <c r="D41" s="23"/>
      <c r="E41" s="23"/>
      <c r="F41" s="23"/>
      <c r="G41" s="23"/>
    </row>
    <row r="42" spans="1:8" x14ac:dyDescent="0.3">
      <c r="A42" s="44" t="s">
        <v>75</v>
      </c>
      <c r="B42" s="23"/>
      <c r="C42" s="45">
        <f>SUM(G10:G39)</f>
        <v>106.00000000000259</v>
      </c>
      <c r="D42" s="23"/>
      <c r="E42" s="23"/>
      <c r="F42" s="23"/>
      <c r="G42" s="23"/>
    </row>
  </sheetData>
  <mergeCells count="7">
    <mergeCell ref="A41:B41"/>
    <mergeCell ref="C42:G42"/>
    <mergeCell ref="A2:H2"/>
    <mergeCell ref="A42:B42"/>
    <mergeCell ref="C41:G41"/>
    <mergeCell ref="A40:B40"/>
    <mergeCell ref="C40:G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42"/>
  <sheetViews>
    <sheetView topLeftCell="A7" workbookViewId="0">
      <selection activeCell="D7" sqref="D7"/>
    </sheetView>
  </sheetViews>
  <sheetFormatPr defaultRowHeight="14.4" x14ac:dyDescent="0.3"/>
  <cols>
    <col min="1" max="1" width="15.88671875" customWidth="1"/>
    <col min="2" max="2" width="14.33203125" customWidth="1"/>
    <col min="3" max="3" width="14.109375" customWidth="1"/>
    <col min="4" max="4" width="12.33203125" customWidth="1"/>
    <col min="5" max="5" width="13" customWidth="1"/>
    <col min="6" max="6" width="14.88671875" customWidth="1"/>
    <col min="7" max="7" width="17.44140625" customWidth="1"/>
    <col min="8" max="8" width="19.77734375" bestFit="1" customWidth="1"/>
  </cols>
  <sheetData>
    <row r="2" spans="1:8" x14ac:dyDescent="0.3">
      <c r="A2" s="22" t="s">
        <v>63</v>
      </c>
      <c r="B2" s="23"/>
      <c r="C2" s="23"/>
      <c r="D2" s="23"/>
      <c r="E2" s="23"/>
      <c r="F2" s="23"/>
      <c r="G2" s="23"/>
      <c r="H2" s="23"/>
    </row>
    <row r="3" spans="1:8" ht="4.8" customHeight="1" x14ac:dyDescent="0.3"/>
    <row r="4" spans="1:8" x14ac:dyDescent="0.3">
      <c r="A4" s="16" t="s">
        <v>13</v>
      </c>
      <c r="B4" s="17">
        <v>2</v>
      </c>
    </row>
    <row r="5" spans="1:8" x14ac:dyDescent="0.3">
      <c r="A5" s="16" t="s">
        <v>14</v>
      </c>
      <c r="B5" s="17" t="s">
        <v>24</v>
      </c>
    </row>
    <row r="6" spans="1:8" x14ac:dyDescent="0.3">
      <c r="A6" s="16" t="s">
        <v>15</v>
      </c>
      <c r="B6" s="17" t="s">
        <v>25</v>
      </c>
    </row>
    <row r="7" spans="1:8" x14ac:dyDescent="0.3">
      <c r="A7" s="16" t="s">
        <v>17</v>
      </c>
      <c r="B7" s="18">
        <v>8000</v>
      </c>
      <c r="C7" t="s">
        <v>76</v>
      </c>
    </row>
    <row r="8" spans="1:8" ht="4.8" customHeight="1" x14ac:dyDescent="0.3"/>
    <row r="9" spans="1:8" ht="28.8" x14ac:dyDescent="0.3">
      <c r="A9" s="6" t="s">
        <v>64</v>
      </c>
      <c r="B9" s="6" t="s">
        <v>65</v>
      </c>
      <c r="C9" s="6" t="s">
        <v>66</v>
      </c>
      <c r="D9" s="6" t="s">
        <v>67</v>
      </c>
      <c r="E9" s="6" t="s">
        <v>68</v>
      </c>
      <c r="F9" s="6" t="s">
        <v>69</v>
      </c>
      <c r="G9" s="6" t="s">
        <v>70</v>
      </c>
      <c r="H9" s="6" t="s">
        <v>71</v>
      </c>
    </row>
    <row r="10" spans="1:8" x14ac:dyDescent="0.3">
      <c r="A10" s="19">
        <v>46113</v>
      </c>
      <c r="B10" s="12">
        <f t="shared" ref="B10:B39" si="0">+A10</f>
        <v>46113</v>
      </c>
      <c r="C10" s="13"/>
      <c r="D10" s="13"/>
      <c r="E10" s="7"/>
      <c r="F10" s="14">
        <f t="shared" ref="F10:F39" si="1">+(D10-C10)*24-E10</f>
        <v>0</v>
      </c>
      <c r="G10" s="15" t="str">
        <f t="shared" ref="G10:G39" si="2">+IF(C10&gt;0.333333333333333,+(C10-0.333333333333333)*24*60,"0")</f>
        <v>0</v>
      </c>
      <c r="H10" s="3"/>
    </row>
    <row r="11" spans="1:8" x14ac:dyDescent="0.3">
      <c r="A11" s="19">
        <v>46114</v>
      </c>
      <c r="B11" s="12">
        <f t="shared" si="0"/>
        <v>46114</v>
      </c>
      <c r="C11" s="13"/>
      <c r="D11" s="13"/>
      <c r="E11" s="7"/>
      <c r="F11" s="14">
        <f t="shared" si="1"/>
        <v>0</v>
      </c>
      <c r="G11" s="15" t="str">
        <f t="shared" si="2"/>
        <v>0</v>
      </c>
      <c r="H11" s="3"/>
    </row>
    <row r="12" spans="1:8" x14ac:dyDescent="0.3">
      <c r="A12" s="19">
        <v>46115</v>
      </c>
      <c r="B12" s="12">
        <f t="shared" si="0"/>
        <v>46115</v>
      </c>
      <c r="C12" s="13"/>
      <c r="D12" s="13"/>
      <c r="E12" s="7"/>
      <c r="F12" s="14">
        <f t="shared" si="1"/>
        <v>0</v>
      </c>
      <c r="G12" s="15" t="str">
        <f t="shared" si="2"/>
        <v>0</v>
      </c>
      <c r="H12" s="3" t="s">
        <v>72</v>
      </c>
    </row>
    <row r="13" spans="1:8" x14ac:dyDescent="0.3">
      <c r="A13" s="19">
        <v>46116</v>
      </c>
      <c r="B13" s="12">
        <f t="shared" si="0"/>
        <v>46116</v>
      </c>
      <c r="C13" s="13"/>
      <c r="D13" s="13"/>
      <c r="E13" s="7"/>
      <c r="F13" s="14">
        <f t="shared" si="1"/>
        <v>0</v>
      </c>
      <c r="G13" s="15" t="str">
        <f t="shared" si="2"/>
        <v>0</v>
      </c>
      <c r="H13" s="3"/>
    </row>
    <row r="14" spans="1:8" x14ac:dyDescent="0.3">
      <c r="A14" s="19">
        <v>46117</v>
      </c>
      <c r="B14" s="12">
        <f t="shared" si="0"/>
        <v>46117</v>
      </c>
      <c r="C14" s="13"/>
      <c r="D14" s="13"/>
      <c r="E14" s="7"/>
      <c r="F14" s="14">
        <f t="shared" si="1"/>
        <v>0</v>
      </c>
      <c r="G14" s="15" t="str">
        <f t="shared" si="2"/>
        <v>0</v>
      </c>
      <c r="H14" s="3"/>
    </row>
    <row r="15" spans="1:8" x14ac:dyDescent="0.3">
      <c r="A15" s="19">
        <v>46118</v>
      </c>
      <c r="B15" s="12">
        <f t="shared" si="0"/>
        <v>46118</v>
      </c>
      <c r="C15" s="13">
        <v>0.41666666666666669</v>
      </c>
      <c r="D15" s="13">
        <v>0.77847222222222223</v>
      </c>
      <c r="E15" s="7">
        <v>1</v>
      </c>
      <c r="F15" s="14">
        <f t="shared" si="1"/>
        <v>7.6833333333333336</v>
      </c>
      <c r="G15" s="15">
        <f t="shared" si="2"/>
        <v>120.00000000000054</v>
      </c>
      <c r="H15" s="3"/>
    </row>
    <row r="16" spans="1:8" x14ac:dyDescent="0.3">
      <c r="A16" s="19">
        <v>46119</v>
      </c>
      <c r="B16" s="12">
        <f t="shared" si="0"/>
        <v>46119</v>
      </c>
      <c r="C16" s="13">
        <v>0.33263888888888887</v>
      </c>
      <c r="D16" s="13">
        <v>0.77847222222222223</v>
      </c>
      <c r="E16" s="7">
        <v>1</v>
      </c>
      <c r="F16" s="14">
        <f t="shared" si="1"/>
        <v>9.7000000000000011</v>
      </c>
      <c r="G16" s="15" t="str">
        <f t="shared" si="2"/>
        <v>0</v>
      </c>
      <c r="H16" s="3"/>
    </row>
    <row r="17" spans="1:8" x14ac:dyDescent="0.3">
      <c r="A17" s="19">
        <v>46120</v>
      </c>
      <c r="B17" s="12">
        <f t="shared" si="0"/>
        <v>46120</v>
      </c>
      <c r="C17" s="13">
        <v>0.33263888888888887</v>
      </c>
      <c r="D17" s="13">
        <v>0.78819444444444442</v>
      </c>
      <c r="E17" s="7">
        <v>1</v>
      </c>
      <c r="F17" s="14">
        <f t="shared" si="1"/>
        <v>9.9333333333333336</v>
      </c>
      <c r="G17" s="15" t="str">
        <f t="shared" si="2"/>
        <v>0</v>
      </c>
      <c r="H17" s="3"/>
    </row>
    <row r="18" spans="1:8" x14ac:dyDescent="0.3">
      <c r="A18" s="19">
        <v>46121</v>
      </c>
      <c r="B18" s="12">
        <f t="shared" si="0"/>
        <v>46121</v>
      </c>
      <c r="C18" s="13">
        <v>0.33402777777777781</v>
      </c>
      <c r="D18" s="13">
        <v>0.77847222222222223</v>
      </c>
      <c r="E18" s="7">
        <v>1</v>
      </c>
      <c r="F18" s="14">
        <f t="shared" si="1"/>
        <v>9.6666666666666661</v>
      </c>
      <c r="G18" s="15">
        <f t="shared" si="2"/>
        <v>1.000000000000556</v>
      </c>
      <c r="H18" s="3"/>
    </row>
    <row r="19" spans="1:8" x14ac:dyDescent="0.3">
      <c r="A19" s="19">
        <v>46122</v>
      </c>
      <c r="B19" s="12">
        <f t="shared" si="0"/>
        <v>46122</v>
      </c>
      <c r="C19" s="13">
        <v>0.3347222222222222</v>
      </c>
      <c r="D19" s="13">
        <v>0.78055555555555556</v>
      </c>
      <c r="E19" s="7">
        <v>1</v>
      </c>
      <c r="F19" s="14">
        <f t="shared" si="1"/>
        <v>9.7000000000000011</v>
      </c>
      <c r="G19" s="15">
        <f t="shared" si="2"/>
        <v>2.0000000000004725</v>
      </c>
      <c r="H19" s="3"/>
    </row>
    <row r="20" spans="1:8" x14ac:dyDescent="0.3">
      <c r="A20" s="19">
        <v>46123</v>
      </c>
      <c r="B20" s="12">
        <f t="shared" si="0"/>
        <v>46123</v>
      </c>
      <c r="C20" s="13"/>
      <c r="D20" s="13"/>
      <c r="E20" s="7"/>
      <c r="F20" s="14">
        <f t="shared" si="1"/>
        <v>0</v>
      </c>
      <c r="G20" s="15" t="str">
        <f t="shared" si="2"/>
        <v>0</v>
      </c>
      <c r="H20" s="3"/>
    </row>
    <row r="21" spans="1:8" x14ac:dyDescent="0.3">
      <c r="A21" s="19">
        <v>46124</v>
      </c>
      <c r="B21" s="12">
        <f t="shared" si="0"/>
        <v>46124</v>
      </c>
      <c r="C21" s="13"/>
      <c r="D21" s="13"/>
      <c r="E21" s="7"/>
      <c r="F21" s="14">
        <f t="shared" si="1"/>
        <v>0</v>
      </c>
      <c r="G21" s="15" t="str">
        <f t="shared" si="2"/>
        <v>0</v>
      </c>
      <c r="H21" s="3"/>
    </row>
    <row r="22" spans="1:8" x14ac:dyDescent="0.3">
      <c r="A22" s="19">
        <v>46125</v>
      </c>
      <c r="B22" s="12">
        <f t="shared" si="0"/>
        <v>46125</v>
      </c>
      <c r="C22" s="13">
        <v>0.33611111111111108</v>
      </c>
      <c r="D22" s="13">
        <v>0.78055555555555556</v>
      </c>
      <c r="E22" s="7">
        <v>1</v>
      </c>
      <c r="F22" s="14">
        <f t="shared" si="1"/>
        <v>9.6666666666666679</v>
      </c>
      <c r="G22" s="15">
        <f t="shared" si="2"/>
        <v>4.0000000000004654</v>
      </c>
      <c r="H22" s="3"/>
    </row>
    <row r="23" spans="1:8" x14ac:dyDescent="0.3">
      <c r="A23" s="19">
        <v>46126</v>
      </c>
      <c r="B23" s="12">
        <f t="shared" si="0"/>
        <v>46126</v>
      </c>
      <c r="C23" s="13">
        <v>0.3347222222222222</v>
      </c>
      <c r="D23" s="13">
        <v>0.77847222222222223</v>
      </c>
      <c r="E23" s="7">
        <v>1</v>
      </c>
      <c r="F23" s="14">
        <f t="shared" si="1"/>
        <v>9.65</v>
      </c>
      <c r="G23" s="15">
        <f t="shared" si="2"/>
        <v>2.0000000000004725</v>
      </c>
      <c r="H23" s="3"/>
    </row>
    <row r="24" spans="1:8" x14ac:dyDescent="0.3">
      <c r="A24" s="19">
        <v>46127</v>
      </c>
      <c r="B24" s="12">
        <f t="shared" si="0"/>
        <v>46127</v>
      </c>
      <c r="C24" s="13">
        <v>0.33611111111111108</v>
      </c>
      <c r="D24" s="13">
        <v>0.78888888888888886</v>
      </c>
      <c r="E24" s="7">
        <v>1</v>
      </c>
      <c r="F24" s="14">
        <f t="shared" si="1"/>
        <v>9.8666666666666671</v>
      </c>
      <c r="G24" s="15">
        <f t="shared" si="2"/>
        <v>4.0000000000004654</v>
      </c>
      <c r="H24" s="3"/>
    </row>
    <row r="25" spans="1:8" x14ac:dyDescent="0.3">
      <c r="A25" s="19">
        <v>46128</v>
      </c>
      <c r="B25" s="12">
        <f t="shared" si="0"/>
        <v>46128</v>
      </c>
      <c r="C25" s="13">
        <v>0.33402777777777781</v>
      </c>
      <c r="D25" s="13">
        <v>0.79791666666666672</v>
      </c>
      <c r="E25" s="7">
        <v>1</v>
      </c>
      <c r="F25" s="14">
        <f t="shared" si="1"/>
        <v>10.133333333333333</v>
      </c>
      <c r="G25" s="15">
        <f t="shared" si="2"/>
        <v>1.000000000000556</v>
      </c>
      <c r="H25" s="3"/>
    </row>
    <row r="26" spans="1:8" x14ac:dyDescent="0.3">
      <c r="A26" s="19">
        <v>46129</v>
      </c>
      <c r="B26" s="12">
        <f t="shared" si="0"/>
        <v>46129</v>
      </c>
      <c r="C26" s="13">
        <v>0.34166666666666667</v>
      </c>
      <c r="D26" s="13">
        <v>0.80069444444444449</v>
      </c>
      <c r="E26" s="7">
        <v>1</v>
      </c>
      <c r="F26" s="14">
        <f t="shared" si="1"/>
        <v>10.016666666666667</v>
      </c>
      <c r="G26" s="15">
        <f t="shared" si="2"/>
        <v>12.000000000000517</v>
      </c>
      <c r="H26" s="3"/>
    </row>
    <row r="27" spans="1:8" x14ac:dyDescent="0.3">
      <c r="A27" s="19">
        <v>46130</v>
      </c>
      <c r="B27" s="12">
        <f t="shared" si="0"/>
        <v>46130</v>
      </c>
      <c r="C27" s="13">
        <v>0.37916666666666671</v>
      </c>
      <c r="D27" s="13">
        <v>0.45694444444444438</v>
      </c>
      <c r="E27" s="7">
        <v>1</v>
      </c>
      <c r="F27" s="14">
        <f t="shared" si="1"/>
        <v>0.86666666666666403</v>
      </c>
      <c r="G27" s="15">
        <f t="shared" si="2"/>
        <v>66.000000000000568</v>
      </c>
      <c r="H27" s="3"/>
    </row>
    <row r="28" spans="1:8" x14ac:dyDescent="0.3">
      <c r="A28" s="19">
        <v>46131</v>
      </c>
      <c r="B28" s="12">
        <f t="shared" si="0"/>
        <v>46131</v>
      </c>
      <c r="C28" s="13"/>
      <c r="D28" s="13"/>
      <c r="E28" s="7"/>
      <c r="F28" s="14">
        <f t="shared" si="1"/>
        <v>0</v>
      </c>
      <c r="G28" s="15" t="str">
        <f t="shared" si="2"/>
        <v>0</v>
      </c>
      <c r="H28" s="3"/>
    </row>
    <row r="29" spans="1:8" x14ac:dyDescent="0.3">
      <c r="A29" s="19">
        <v>46132</v>
      </c>
      <c r="B29" s="12">
        <f t="shared" si="0"/>
        <v>46132</v>
      </c>
      <c r="C29" s="13">
        <v>0.34375</v>
      </c>
      <c r="D29" s="13">
        <v>0.78680555555555554</v>
      </c>
      <c r="E29" s="7">
        <v>1</v>
      </c>
      <c r="F29" s="14">
        <f t="shared" si="1"/>
        <v>9.6333333333333329</v>
      </c>
      <c r="G29" s="15">
        <f t="shared" si="2"/>
        <v>15.000000000000506</v>
      </c>
      <c r="H29" s="3"/>
    </row>
    <row r="30" spans="1:8" x14ac:dyDescent="0.3">
      <c r="A30" s="19">
        <v>46133</v>
      </c>
      <c r="B30" s="12">
        <f t="shared" si="0"/>
        <v>46133</v>
      </c>
      <c r="C30" s="13"/>
      <c r="D30" s="13"/>
      <c r="E30" s="7"/>
      <c r="F30" s="14">
        <f t="shared" si="1"/>
        <v>0</v>
      </c>
      <c r="G30" s="15" t="str">
        <f t="shared" si="2"/>
        <v>0</v>
      </c>
      <c r="H30" s="3"/>
    </row>
    <row r="31" spans="1:8" x14ac:dyDescent="0.3">
      <c r="A31" s="19">
        <v>46134</v>
      </c>
      <c r="B31" s="12">
        <f t="shared" si="0"/>
        <v>46134</v>
      </c>
      <c r="C31" s="13"/>
      <c r="D31" s="13"/>
      <c r="E31" s="7"/>
      <c r="F31" s="14">
        <f t="shared" si="1"/>
        <v>0</v>
      </c>
      <c r="G31" s="15" t="str">
        <f t="shared" si="2"/>
        <v>0</v>
      </c>
      <c r="H31" s="3"/>
    </row>
    <row r="32" spans="1:8" x14ac:dyDescent="0.3">
      <c r="A32" s="19">
        <v>46135</v>
      </c>
      <c r="B32" s="12">
        <f t="shared" si="0"/>
        <v>46135</v>
      </c>
      <c r="C32" s="13"/>
      <c r="D32" s="13"/>
      <c r="E32" s="7"/>
      <c r="F32" s="14">
        <f t="shared" si="1"/>
        <v>0</v>
      </c>
      <c r="G32" s="15" t="str">
        <f t="shared" si="2"/>
        <v>0</v>
      </c>
      <c r="H32" s="3"/>
    </row>
    <row r="33" spans="1:8" x14ac:dyDescent="0.3">
      <c r="A33" s="19">
        <v>46136</v>
      </c>
      <c r="B33" s="12">
        <f t="shared" si="0"/>
        <v>46136</v>
      </c>
      <c r="C33" s="13"/>
      <c r="D33" s="13"/>
      <c r="E33" s="7"/>
      <c r="F33" s="14">
        <f t="shared" si="1"/>
        <v>0</v>
      </c>
      <c r="G33" s="15" t="str">
        <f t="shared" si="2"/>
        <v>0</v>
      </c>
      <c r="H33" s="3"/>
    </row>
    <row r="34" spans="1:8" x14ac:dyDescent="0.3">
      <c r="A34" s="19">
        <v>46137</v>
      </c>
      <c r="B34" s="12">
        <f t="shared" si="0"/>
        <v>46137</v>
      </c>
      <c r="C34" s="13"/>
      <c r="D34" s="13"/>
      <c r="E34" s="7"/>
      <c r="F34" s="14">
        <f t="shared" si="1"/>
        <v>0</v>
      </c>
      <c r="G34" s="15" t="str">
        <f t="shared" si="2"/>
        <v>0</v>
      </c>
      <c r="H34" s="3"/>
    </row>
    <row r="35" spans="1:8" x14ac:dyDescent="0.3">
      <c r="A35" s="19">
        <v>46138</v>
      </c>
      <c r="B35" s="12">
        <f t="shared" si="0"/>
        <v>46138</v>
      </c>
      <c r="C35" s="13"/>
      <c r="D35" s="13"/>
      <c r="E35" s="7"/>
      <c r="F35" s="14">
        <f t="shared" si="1"/>
        <v>0</v>
      </c>
      <c r="G35" s="15" t="str">
        <f t="shared" si="2"/>
        <v>0</v>
      </c>
      <c r="H35" s="3"/>
    </row>
    <row r="36" spans="1:8" x14ac:dyDescent="0.3">
      <c r="A36" s="19">
        <v>46139</v>
      </c>
      <c r="B36" s="12">
        <f t="shared" si="0"/>
        <v>46139</v>
      </c>
      <c r="C36" s="13"/>
      <c r="D36" s="13"/>
      <c r="E36" s="7"/>
      <c r="F36" s="14">
        <f t="shared" si="1"/>
        <v>0</v>
      </c>
      <c r="G36" s="15" t="str">
        <f t="shared" si="2"/>
        <v>0</v>
      </c>
      <c r="H36" s="3"/>
    </row>
    <row r="37" spans="1:8" x14ac:dyDescent="0.3">
      <c r="A37" s="19">
        <v>46140</v>
      </c>
      <c r="B37" s="12">
        <f t="shared" si="0"/>
        <v>46140</v>
      </c>
      <c r="C37" s="13"/>
      <c r="D37" s="13"/>
      <c r="E37" s="7"/>
      <c r="F37" s="14">
        <f t="shared" si="1"/>
        <v>0</v>
      </c>
      <c r="G37" s="15" t="str">
        <f t="shared" si="2"/>
        <v>0</v>
      </c>
      <c r="H37" s="3"/>
    </row>
    <row r="38" spans="1:8" x14ac:dyDescent="0.3">
      <c r="A38" s="19">
        <v>46141</v>
      </c>
      <c r="B38" s="12">
        <f t="shared" si="0"/>
        <v>46141</v>
      </c>
      <c r="C38" s="13"/>
      <c r="D38" s="13"/>
      <c r="E38" s="7"/>
      <c r="F38" s="14">
        <f t="shared" si="1"/>
        <v>0</v>
      </c>
      <c r="G38" s="15" t="str">
        <f t="shared" si="2"/>
        <v>0</v>
      </c>
      <c r="H38" s="3"/>
    </row>
    <row r="39" spans="1:8" x14ac:dyDescent="0.3">
      <c r="A39" s="19">
        <v>46142</v>
      </c>
      <c r="B39" s="12">
        <f t="shared" si="0"/>
        <v>46142</v>
      </c>
      <c r="C39" s="13"/>
      <c r="D39" s="13"/>
      <c r="E39" s="7"/>
      <c r="F39" s="14">
        <f t="shared" si="1"/>
        <v>0</v>
      </c>
      <c r="G39" s="15" t="str">
        <f t="shared" si="2"/>
        <v>0</v>
      </c>
      <c r="H39" s="3"/>
    </row>
    <row r="40" spans="1:8" x14ac:dyDescent="0.3">
      <c r="A40" s="44" t="s">
        <v>73</v>
      </c>
      <c r="B40" s="23"/>
      <c r="C40" s="45">
        <f>+COUNT(C10:C39)</f>
        <v>12</v>
      </c>
      <c r="D40" s="23"/>
      <c r="E40" s="23"/>
      <c r="F40" s="23"/>
      <c r="G40" s="23"/>
    </row>
    <row r="41" spans="1:8" x14ac:dyDescent="0.3">
      <c r="A41" s="44" t="s">
        <v>74</v>
      </c>
      <c r="B41" s="23"/>
      <c r="C41" s="46">
        <f>SUM(F10:F39)</f>
        <v>106.51666666666665</v>
      </c>
      <c r="D41" s="23"/>
      <c r="E41" s="23"/>
      <c r="F41" s="23"/>
      <c r="G41" s="23"/>
    </row>
    <row r="42" spans="1:8" x14ac:dyDescent="0.3">
      <c r="A42" s="44" t="s">
        <v>75</v>
      </c>
      <c r="B42" s="23"/>
      <c r="C42" s="45">
        <f>SUM(G10:G39)</f>
        <v>227.00000000000512</v>
      </c>
      <c r="D42" s="23"/>
      <c r="E42" s="23"/>
      <c r="F42" s="23"/>
      <c r="G42" s="23"/>
    </row>
  </sheetData>
  <mergeCells count="7">
    <mergeCell ref="A41:B41"/>
    <mergeCell ref="C42:G42"/>
    <mergeCell ref="A2:H2"/>
    <mergeCell ref="A42:B42"/>
    <mergeCell ref="C41:G41"/>
    <mergeCell ref="A40:B40"/>
    <mergeCell ref="C40:G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42"/>
  <sheetViews>
    <sheetView topLeftCell="A13" workbookViewId="0">
      <selection activeCell="F29" sqref="F29"/>
    </sheetView>
  </sheetViews>
  <sheetFormatPr defaultRowHeight="14.4" x14ac:dyDescent="0.3"/>
  <cols>
    <col min="1" max="1" width="15.88671875" customWidth="1"/>
    <col min="2" max="2" width="14.33203125" customWidth="1"/>
    <col min="3" max="3" width="14.109375" customWidth="1"/>
    <col min="4" max="4" width="12.33203125" customWidth="1"/>
    <col min="5" max="5" width="13" customWidth="1"/>
    <col min="6" max="6" width="14.88671875" customWidth="1"/>
    <col min="7" max="7" width="17.44140625" customWidth="1"/>
    <col min="8" max="8" width="19.77734375" bestFit="1" customWidth="1"/>
  </cols>
  <sheetData>
    <row r="2" spans="1:8" x14ac:dyDescent="0.3">
      <c r="A2" s="22" t="s">
        <v>63</v>
      </c>
      <c r="B2" s="23"/>
      <c r="C2" s="23"/>
      <c r="D2" s="23"/>
      <c r="E2" s="23"/>
      <c r="F2" s="23"/>
      <c r="G2" s="23"/>
      <c r="H2" s="23"/>
    </row>
    <row r="3" spans="1:8" ht="4.8" customHeight="1" x14ac:dyDescent="0.3"/>
    <row r="4" spans="1:8" x14ac:dyDescent="0.3">
      <c r="A4" s="16" t="s">
        <v>13</v>
      </c>
      <c r="B4" s="17">
        <v>3</v>
      </c>
    </row>
    <row r="5" spans="1:8" x14ac:dyDescent="0.3">
      <c r="A5" s="16" t="s">
        <v>14</v>
      </c>
      <c r="B5" s="17" t="s">
        <v>26</v>
      </c>
    </row>
    <row r="6" spans="1:8" x14ac:dyDescent="0.3">
      <c r="A6" s="16" t="s">
        <v>15</v>
      </c>
      <c r="B6" s="17" t="s">
        <v>27</v>
      </c>
    </row>
    <row r="7" spans="1:8" x14ac:dyDescent="0.3">
      <c r="A7" s="16" t="s">
        <v>17</v>
      </c>
      <c r="B7" s="18">
        <v>8000</v>
      </c>
      <c r="C7" t="s">
        <v>76</v>
      </c>
    </row>
    <row r="8" spans="1:8" ht="4.8" customHeight="1" x14ac:dyDescent="0.3"/>
    <row r="9" spans="1:8" ht="28.8" x14ac:dyDescent="0.3">
      <c r="A9" s="6" t="s">
        <v>64</v>
      </c>
      <c r="B9" s="6" t="s">
        <v>65</v>
      </c>
      <c r="C9" s="6" t="s">
        <v>66</v>
      </c>
      <c r="D9" s="6" t="s">
        <v>67</v>
      </c>
      <c r="E9" s="6" t="s">
        <v>68</v>
      </c>
      <c r="F9" s="6" t="s">
        <v>69</v>
      </c>
      <c r="G9" s="6" t="s">
        <v>70</v>
      </c>
      <c r="H9" s="6" t="s">
        <v>71</v>
      </c>
    </row>
    <row r="10" spans="1:8" x14ac:dyDescent="0.3">
      <c r="A10" s="19">
        <v>46113</v>
      </c>
      <c r="B10" s="12">
        <f t="shared" ref="B10:B39" si="0">+A10</f>
        <v>46113</v>
      </c>
      <c r="C10" s="13"/>
      <c r="D10" s="13"/>
      <c r="E10" s="7"/>
      <c r="F10" s="14">
        <f t="shared" ref="F10:F39" si="1">+(D10-C10)*24-E10</f>
        <v>0</v>
      </c>
      <c r="G10" s="15" t="str">
        <f t="shared" ref="G10:G39" si="2">+IF(C10&gt;0.333333333333333,+(C10-0.333333333333333)*24*60,"0")</f>
        <v>0</v>
      </c>
      <c r="H10" s="3"/>
    </row>
    <row r="11" spans="1:8" x14ac:dyDescent="0.3">
      <c r="A11" s="19">
        <v>46114</v>
      </c>
      <c r="B11" s="12">
        <f t="shared" si="0"/>
        <v>46114</v>
      </c>
      <c r="C11" s="13"/>
      <c r="D11" s="13"/>
      <c r="E11" s="7"/>
      <c r="F11" s="14">
        <f t="shared" si="1"/>
        <v>0</v>
      </c>
      <c r="G11" s="15" t="str">
        <f t="shared" si="2"/>
        <v>0</v>
      </c>
      <c r="H11" s="3"/>
    </row>
    <row r="12" spans="1:8" x14ac:dyDescent="0.3">
      <c r="A12" s="19">
        <v>46115</v>
      </c>
      <c r="B12" s="12">
        <f t="shared" si="0"/>
        <v>46115</v>
      </c>
      <c r="C12" s="13"/>
      <c r="D12" s="13"/>
      <c r="E12" s="7"/>
      <c r="F12" s="14">
        <f t="shared" si="1"/>
        <v>0</v>
      </c>
      <c r="G12" s="15" t="str">
        <f t="shared" si="2"/>
        <v>0</v>
      </c>
      <c r="H12" s="3" t="s">
        <v>72</v>
      </c>
    </row>
    <row r="13" spans="1:8" x14ac:dyDescent="0.3">
      <c r="A13" s="19">
        <v>46116</v>
      </c>
      <c r="B13" s="12">
        <f t="shared" si="0"/>
        <v>46116</v>
      </c>
      <c r="C13" s="13"/>
      <c r="D13" s="13"/>
      <c r="E13" s="7"/>
      <c r="F13" s="14">
        <f t="shared" si="1"/>
        <v>0</v>
      </c>
      <c r="G13" s="15" t="str">
        <f t="shared" si="2"/>
        <v>0</v>
      </c>
      <c r="H13" s="3"/>
    </row>
    <row r="14" spans="1:8" x14ac:dyDescent="0.3">
      <c r="A14" s="19">
        <v>46117</v>
      </c>
      <c r="B14" s="12">
        <f t="shared" si="0"/>
        <v>46117</v>
      </c>
      <c r="C14" s="13"/>
      <c r="D14" s="13"/>
      <c r="E14" s="7"/>
      <c r="F14" s="14">
        <f t="shared" si="1"/>
        <v>0</v>
      </c>
      <c r="G14" s="15" t="str">
        <f t="shared" si="2"/>
        <v>0</v>
      </c>
      <c r="H14" s="3"/>
    </row>
    <row r="15" spans="1:8" x14ac:dyDescent="0.3">
      <c r="A15" s="19">
        <v>46118</v>
      </c>
      <c r="B15" s="12">
        <f t="shared" si="0"/>
        <v>46118</v>
      </c>
      <c r="C15" s="13">
        <v>0.33333333333333331</v>
      </c>
      <c r="D15" s="13">
        <v>0.70833333333333337</v>
      </c>
      <c r="E15" s="7">
        <v>1</v>
      </c>
      <c r="F15" s="14">
        <f t="shared" si="1"/>
        <v>8.0000000000000018</v>
      </c>
      <c r="G15" s="15" t="str">
        <f t="shared" si="2"/>
        <v>0</v>
      </c>
      <c r="H15" s="3"/>
    </row>
    <row r="16" spans="1:8" x14ac:dyDescent="0.3">
      <c r="A16" s="19">
        <v>46119</v>
      </c>
      <c r="B16" s="12">
        <f t="shared" si="0"/>
        <v>46119</v>
      </c>
      <c r="C16" s="13">
        <v>0.33333333333333331</v>
      </c>
      <c r="D16" s="13">
        <v>0.70833333333333337</v>
      </c>
      <c r="E16" s="7"/>
      <c r="F16" s="14">
        <f t="shared" si="1"/>
        <v>9.0000000000000018</v>
      </c>
      <c r="G16" s="15" t="str">
        <f t="shared" si="2"/>
        <v>0</v>
      </c>
      <c r="H16" s="3"/>
    </row>
    <row r="17" spans="1:8" x14ac:dyDescent="0.3">
      <c r="A17" s="19">
        <v>46120</v>
      </c>
      <c r="B17" s="12">
        <f t="shared" si="0"/>
        <v>46120</v>
      </c>
      <c r="C17" s="13">
        <v>0.33333333333333331</v>
      </c>
      <c r="D17" s="13">
        <v>0.70833333333333337</v>
      </c>
      <c r="E17" s="7"/>
      <c r="F17" s="14">
        <f t="shared" si="1"/>
        <v>9.0000000000000018</v>
      </c>
      <c r="G17" s="15" t="str">
        <f t="shared" si="2"/>
        <v>0</v>
      </c>
      <c r="H17" s="3"/>
    </row>
    <row r="18" spans="1:8" x14ac:dyDescent="0.3">
      <c r="A18" s="19">
        <v>46121</v>
      </c>
      <c r="B18" s="12">
        <f t="shared" si="0"/>
        <v>46121</v>
      </c>
      <c r="C18" s="13">
        <v>0.4284722222222222</v>
      </c>
      <c r="D18" s="13">
        <v>0.71250000000000002</v>
      </c>
      <c r="E18" s="7">
        <v>1</v>
      </c>
      <c r="F18" s="14">
        <f t="shared" si="1"/>
        <v>5.8166666666666682</v>
      </c>
      <c r="G18" s="15">
        <f t="shared" si="2"/>
        <v>137.00000000000048</v>
      </c>
      <c r="H18" s="3"/>
    </row>
    <row r="19" spans="1:8" x14ac:dyDescent="0.3">
      <c r="A19" s="19">
        <v>46122</v>
      </c>
      <c r="B19" s="12">
        <f t="shared" si="0"/>
        <v>46122</v>
      </c>
      <c r="C19" s="13">
        <v>0.33888888888888891</v>
      </c>
      <c r="D19" s="13">
        <v>0.70902777777777781</v>
      </c>
      <c r="E19" s="7">
        <v>1</v>
      </c>
      <c r="F19" s="14">
        <f t="shared" si="1"/>
        <v>7.8833333333333329</v>
      </c>
      <c r="G19" s="15">
        <f t="shared" si="2"/>
        <v>8.0000000000005311</v>
      </c>
      <c r="H19" s="3"/>
    </row>
    <row r="20" spans="1:8" x14ac:dyDescent="0.3">
      <c r="A20" s="19">
        <v>46123</v>
      </c>
      <c r="B20" s="12">
        <f t="shared" si="0"/>
        <v>46123</v>
      </c>
      <c r="C20" s="13"/>
      <c r="D20" s="13"/>
      <c r="E20" s="7"/>
      <c r="F20" s="14">
        <f t="shared" si="1"/>
        <v>0</v>
      </c>
      <c r="G20" s="15" t="str">
        <f t="shared" si="2"/>
        <v>0</v>
      </c>
      <c r="H20" s="3"/>
    </row>
    <row r="21" spans="1:8" x14ac:dyDescent="0.3">
      <c r="A21" s="19">
        <v>46124</v>
      </c>
      <c r="B21" s="12">
        <f t="shared" si="0"/>
        <v>46124</v>
      </c>
      <c r="C21" s="13"/>
      <c r="D21" s="13"/>
      <c r="E21" s="7"/>
      <c r="F21" s="14">
        <f t="shared" si="1"/>
        <v>0</v>
      </c>
      <c r="G21" s="15" t="str">
        <f t="shared" si="2"/>
        <v>0</v>
      </c>
      <c r="H21" s="3"/>
    </row>
    <row r="22" spans="1:8" x14ac:dyDescent="0.3">
      <c r="A22" s="19">
        <v>46125</v>
      </c>
      <c r="B22" s="12">
        <f t="shared" si="0"/>
        <v>46125</v>
      </c>
      <c r="C22" s="13">
        <v>0.34861111111111109</v>
      </c>
      <c r="D22" s="13">
        <v>0.78402777777777777</v>
      </c>
      <c r="E22" s="7">
        <v>1</v>
      </c>
      <c r="F22" s="14">
        <f t="shared" si="1"/>
        <v>9.4499999999999993</v>
      </c>
      <c r="G22" s="15">
        <f t="shared" si="2"/>
        <v>22.000000000000483</v>
      </c>
      <c r="H22" s="3"/>
    </row>
    <row r="23" spans="1:8" x14ac:dyDescent="0.3">
      <c r="A23" s="19">
        <v>46126</v>
      </c>
      <c r="B23" s="12">
        <f t="shared" si="0"/>
        <v>46126</v>
      </c>
      <c r="C23" s="13">
        <v>0.35486111111111113</v>
      </c>
      <c r="D23" s="13">
        <v>0.73402777777777772</v>
      </c>
      <c r="E23" s="7">
        <v>1</v>
      </c>
      <c r="F23" s="14">
        <f t="shared" si="1"/>
        <v>8.0999999999999979</v>
      </c>
      <c r="G23" s="15">
        <f t="shared" si="2"/>
        <v>31.000000000000529</v>
      </c>
      <c r="H23" s="3"/>
    </row>
    <row r="24" spans="1:8" x14ac:dyDescent="0.3">
      <c r="A24" s="19">
        <v>46127</v>
      </c>
      <c r="B24" s="12">
        <f t="shared" si="0"/>
        <v>46127</v>
      </c>
      <c r="C24" s="13">
        <v>0.35138888888888892</v>
      </c>
      <c r="D24" s="13">
        <v>0.73888888888888893</v>
      </c>
      <c r="E24" s="7">
        <v>1</v>
      </c>
      <c r="F24" s="14">
        <f t="shared" si="1"/>
        <v>8.3000000000000007</v>
      </c>
      <c r="G24" s="15">
        <f t="shared" si="2"/>
        <v>26.000000000000547</v>
      </c>
      <c r="H24" s="3"/>
    </row>
    <row r="25" spans="1:8" x14ac:dyDescent="0.3">
      <c r="A25" s="19">
        <v>46128</v>
      </c>
      <c r="B25" s="12">
        <f t="shared" si="0"/>
        <v>46128</v>
      </c>
      <c r="C25" s="13">
        <v>0.34513888888888888</v>
      </c>
      <c r="D25" s="13">
        <v>0.71180555555555558</v>
      </c>
      <c r="E25" s="7">
        <v>1</v>
      </c>
      <c r="F25" s="14">
        <f t="shared" si="1"/>
        <v>7.8000000000000007</v>
      </c>
      <c r="G25" s="15">
        <f t="shared" si="2"/>
        <v>17.000000000000497</v>
      </c>
      <c r="H25" s="3"/>
    </row>
    <row r="26" spans="1:8" x14ac:dyDescent="0.3">
      <c r="A26" s="19">
        <v>46129</v>
      </c>
      <c r="B26" s="12">
        <f t="shared" si="0"/>
        <v>46129</v>
      </c>
      <c r="C26" s="13">
        <v>0.36180555555555549</v>
      </c>
      <c r="D26" s="13">
        <v>0.71250000000000002</v>
      </c>
      <c r="E26" s="7">
        <v>1</v>
      </c>
      <c r="F26" s="14">
        <f t="shared" si="1"/>
        <v>7.4166666666666679</v>
      </c>
      <c r="G26" s="15">
        <f t="shared" si="2"/>
        <v>41.000000000000412</v>
      </c>
      <c r="H26" s="3"/>
    </row>
    <row r="27" spans="1:8" x14ac:dyDescent="0.3">
      <c r="A27" s="19">
        <v>46130</v>
      </c>
      <c r="B27" s="12">
        <f t="shared" si="0"/>
        <v>46130</v>
      </c>
      <c r="C27" s="13"/>
      <c r="D27" s="13"/>
      <c r="E27" s="7"/>
      <c r="F27" s="14">
        <f t="shared" si="1"/>
        <v>0</v>
      </c>
      <c r="G27" s="15" t="str">
        <f t="shared" si="2"/>
        <v>0</v>
      </c>
      <c r="H27" s="3"/>
    </row>
    <row r="28" spans="1:8" x14ac:dyDescent="0.3">
      <c r="A28" s="19">
        <v>46131</v>
      </c>
      <c r="B28" s="12">
        <f t="shared" si="0"/>
        <v>46131</v>
      </c>
      <c r="C28" s="13"/>
      <c r="D28" s="13"/>
      <c r="E28" s="7"/>
      <c r="F28" s="14">
        <f t="shared" si="1"/>
        <v>0</v>
      </c>
      <c r="G28" s="15" t="str">
        <f t="shared" si="2"/>
        <v>0</v>
      </c>
      <c r="H28" s="3"/>
    </row>
    <row r="29" spans="1:8" x14ac:dyDescent="0.3">
      <c r="A29" s="19">
        <v>46132</v>
      </c>
      <c r="B29" s="12">
        <f t="shared" si="0"/>
        <v>46132</v>
      </c>
      <c r="C29" s="13">
        <v>0.34236111111111112</v>
      </c>
      <c r="D29" s="13">
        <v>0.70833333333333337</v>
      </c>
      <c r="E29" s="7">
        <v>1</v>
      </c>
      <c r="F29" s="14">
        <f t="shared" si="1"/>
        <v>7.783333333333335</v>
      </c>
      <c r="G29" s="15">
        <f t="shared" si="2"/>
        <v>13.000000000000513</v>
      </c>
      <c r="H29" s="3"/>
    </row>
    <row r="30" spans="1:8" x14ac:dyDescent="0.3">
      <c r="A30" s="19">
        <v>46133</v>
      </c>
      <c r="B30" s="12">
        <f t="shared" si="0"/>
        <v>46133</v>
      </c>
      <c r="C30" s="13"/>
      <c r="D30" s="13"/>
      <c r="E30" s="7"/>
      <c r="F30" s="14">
        <f t="shared" si="1"/>
        <v>0</v>
      </c>
      <c r="G30" s="15" t="str">
        <f t="shared" si="2"/>
        <v>0</v>
      </c>
      <c r="H30" s="3"/>
    </row>
    <row r="31" spans="1:8" x14ac:dyDescent="0.3">
      <c r="A31" s="19">
        <v>46134</v>
      </c>
      <c r="B31" s="12">
        <f t="shared" si="0"/>
        <v>46134</v>
      </c>
      <c r="C31" s="13"/>
      <c r="D31" s="13"/>
      <c r="E31" s="7"/>
      <c r="F31" s="14">
        <f t="shared" si="1"/>
        <v>0</v>
      </c>
      <c r="G31" s="15" t="str">
        <f t="shared" si="2"/>
        <v>0</v>
      </c>
      <c r="H31" s="3"/>
    </row>
    <row r="32" spans="1:8" x14ac:dyDescent="0.3">
      <c r="A32" s="19">
        <v>46135</v>
      </c>
      <c r="B32" s="12">
        <f t="shared" si="0"/>
        <v>46135</v>
      </c>
      <c r="C32" s="13"/>
      <c r="D32" s="13"/>
      <c r="E32" s="7"/>
      <c r="F32" s="14">
        <f t="shared" si="1"/>
        <v>0</v>
      </c>
      <c r="G32" s="15" t="str">
        <f t="shared" si="2"/>
        <v>0</v>
      </c>
      <c r="H32" s="3"/>
    </row>
    <row r="33" spans="1:8" x14ac:dyDescent="0.3">
      <c r="A33" s="19">
        <v>46136</v>
      </c>
      <c r="B33" s="12">
        <f t="shared" si="0"/>
        <v>46136</v>
      </c>
      <c r="C33" s="13"/>
      <c r="D33" s="13"/>
      <c r="E33" s="7"/>
      <c r="F33" s="14">
        <f t="shared" si="1"/>
        <v>0</v>
      </c>
      <c r="G33" s="15" t="str">
        <f t="shared" si="2"/>
        <v>0</v>
      </c>
      <c r="H33" s="3"/>
    </row>
    <row r="34" spans="1:8" x14ac:dyDescent="0.3">
      <c r="A34" s="19">
        <v>46137</v>
      </c>
      <c r="B34" s="12">
        <f t="shared" si="0"/>
        <v>46137</v>
      </c>
      <c r="C34" s="13"/>
      <c r="D34" s="13"/>
      <c r="E34" s="7"/>
      <c r="F34" s="14">
        <f t="shared" si="1"/>
        <v>0</v>
      </c>
      <c r="G34" s="15" t="str">
        <f t="shared" si="2"/>
        <v>0</v>
      </c>
      <c r="H34" s="3"/>
    </row>
    <row r="35" spans="1:8" x14ac:dyDescent="0.3">
      <c r="A35" s="19">
        <v>46138</v>
      </c>
      <c r="B35" s="12">
        <f t="shared" si="0"/>
        <v>46138</v>
      </c>
      <c r="C35" s="13"/>
      <c r="D35" s="13"/>
      <c r="E35" s="7"/>
      <c r="F35" s="14">
        <f t="shared" si="1"/>
        <v>0</v>
      </c>
      <c r="G35" s="15" t="str">
        <f t="shared" si="2"/>
        <v>0</v>
      </c>
      <c r="H35" s="3"/>
    </row>
    <row r="36" spans="1:8" x14ac:dyDescent="0.3">
      <c r="A36" s="19">
        <v>46139</v>
      </c>
      <c r="B36" s="12">
        <f t="shared" si="0"/>
        <v>46139</v>
      </c>
      <c r="C36" s="13"/>
      <c r="D36" s="13"/>
      <c r="E36" s="7"/>
      <c r="F36" s="14">
        <f t="shared" si="1"/>
        <v>0</v>
      </c>
      <c r="G36" s="15" t="str">
        <f t="shared" si="2"/>
        <v>0</v>
      </c>
      <c r="H36" s="3"/>
    </row>
    <row r="37" spans="1:8" x14ac:dyDescent="0.3">
      <c r="A37" s="19">
        <v>46140</v>
      </c>
      <c r="B37" s="12">
        <f t="shared" si="0"/>
        <v>46140</v>
      </c>
      <c r="C37" s="13"/>
      <c r="D37" s="13"/>
      <c r="E37" s="7"/>
      <c r="F37" s="14">
        <f t="shared" si="1"/>
        <v>0</v>
      </c>
      <c r="G37" s="15" t="str">
        <f t="shared" si="2"/>
        <v>0</v>
      </c>
      <c r="H37" s="3"/>
    </row>
    <row r="38" spans="1:8" x14ac:dyDescent="0.3">
      <c r="A38" s="19">
        <v>46141</v>
      </c>
      <c r="B38" s="12">
        <f t="shared" si="0"/>
        <v>46141</v>
      </c>
      <c r="C38" s="13"/>
      <c r="D38" s="13"/>
      <c r="E38" s="7"/>
      <c r="F38" s="14">
        <f t="shared" si="1"/>
        <v>0</v>
      </c>
      <c r="G38" s="15" t="str">
        <f t="shared" si="2"/>
        <v>0</v>
      </c>
      <c r="H38" s="3"/>
    </row>
    <row r="39" spans="1:8" x14ac:dyDescent="0.3">
      <c r="A39" s="19">
        <v>46142</v>
      </c>
      <c r="B39" s="12">
        <f t="shared" si="0"/>
        <v>46142</v>
      </c>
      <c r="C39" s="13"/>
      <c r="D39" s="13"/>
      <c r="E39" s="7"/>
      <c r="F39" s="14">
        <f t="shared" si="1"/>
        <v>0</v>
      </c>
      <c r="G39" s="15" t="str">
        <f t="shared" si="2"/>
        <v>0</v>
      </c>
      <c r="H39" s="3"/>
    </row>
    <row r="40" spans="1:8" x14ac:dyDescent="0.3">
      <c r="A40" s="44" t="s">
        <v>73</v>
      </c>
      <c r="B40" s="23"/>
      <c r="C40" s="45">
        <f>+COUNT(C10:C39)</f>
        <v>11</v>
      </c>
      <c r="D40" s="23"/>
      <c r="E40" s="23"/>
      <c r="F40" s="23"/>
      <c r="G40" s="23"/>
    </row>
    <row r="41" spans="1:8" x14ac:dyDescent="0.3">
      <c r="A41" s="44" t="s">
        <v>74</v>
      </c>
      <c r="B41" s="23"/>
      <c r="C41" s="46">
        <f>SUM(F10:F39)</f>
        <v>88.55</v>
      </c>
      <c r="D41" s="23"/>
      <c r="E41" s="23"/>
      <c r="F41" s="23"/>
      <c r="G41" s="23"/>
    </row>
    <row r="42" spans="1:8" x14ac:dyDescent="0.3">
      <c r="A42" s="44" t="s">
        <v>75</v>
      </c>
      <c r="B42" s="23"/>
      <c r="C42" s="45">
        <f>SUM(G10:G39)</f>
        <v>295.00000000000398</v>
      </c>
      <c r="D42" s="23"/>
      <c r="E42" s="23"/>
      <c r="F42" s="23"/>
      <c r="G42" s="23"/>
    </row>
  </sheetData>
  <mergeCells count="7">
    <mergeCell ref="A41:B41"/>
    <mergeCell ref="C42:G42"/>
    <mergeCell ref="A2:H2"/>
    <mergeCell ref="A42:B42"/>
    <mergeCell ref="C41:G41"/>
    <mergeCell ref="A40:B40"/>
    <mergeCell ref="C40:G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42"/>
  <sheetViews>
    <sheetView topLeftCell="A28" workbookViewId="0">
      <selection activeCell="D45" sqref="D45"/>
    </sheetView>
  </sheetViews>
  <sheetFormatPr defaultRowHeight="14.4" x14ac:dyDescent="0.3"/>
  <cols>
    <col min="1" max="1" width="15.88671875" customWidth="1"/>
    <col min="2" max="2" width="14.33203125" customWidth="1"/>
    <col min="3" max="3" width="14.109375" customWidth="1"/>
    <col min="4" max="4" width="12.33203125" customWidth="1"/>
    <col min="5" max="5" width="13" customWidth="1"/>
    <col min="6" max="6" width="14.88671875" customWidth="1"/>
    <col min="7" max="7" width="17.44140625" customWidth="1"/>
    <col min="8" max="8" width="24.5546875" customWidth="1"/>
  </cols>
  <sheetData>
    <row r="2" spans="1:8" x14ac:dyDescent="0.3">
      <c r="A2" s="22" t="s">
        <v>63</v>
      </c>
      <c r="B2" s="23"/>
      <c r="C2" s="23"/>
      <c r="D2" s="23"/>
      <c r="E2" s="23"/>
      <c r="F2" s="23"/>
      <c r="G2" s="23"/>
      <c r="H2" s="23"/>
    </row>
    <row r="3" spans="1:8" ht="4.8" customHeight="1" x14ac:dyDescent="0.3"/>
    <row r="4" spans="1:8" x14ac:dyDescent="0.3">
      <c r="A4" s="16" t="s">
        <v>13</v>
      </c>
      <c r="B4" s="17">
        <v>4</v>
      </c>
    </row>
    <row r="5" spans="1:8" x14ac:dyDescent="0.3">
      <c r="A5" s="16" t="s">
        <v>14</v>
      </c>
      <c r="B5" s="17" t="s">
        <v>28</v>
      </c>
    </row>
    <row r="6" spans="1:8" x14ac:dyDescent="0.3">
      <c r="A6" s="16" t="s">
        <v>15</v>
      </c>
      <c r="B6" s="17" t="s">
        <v>29</v>
      </c>
    </row>
    <row r="7" spans="1:8" x14ac:dyDescent="0.3">
      <c r="A7" s="16" t="s">
        <v>17</v>
      </c>
      <c r="B7" s="18">
        <v>8000</v>
      </c>
      <c r="C7" t="s">
        <v>76</v>
      </c>
    </row>
    <row r="8" spans="1:8" ht="4.8" customHeight="1" x14ac:dyDescent="0.3"/>
    <row r="9" spans="1:8" ht="28.8" x14ac:dyDescent="0.3">
      <c r="A9" s="6" t="s">
        <v>64</v>
      </c>
      <c r="B9" s="6" t="s">
        <v>65</v>
      </c>
      <c r="C9" s="6" t="s">
        <v>66</v>
      </c>
      <c r="D9" s="6" t="s">
        <v>67</v>
      </c>
      <c r="E9" s="6" t="s">
        <v>68</v>
      </c>
      <c r="F9" s="6" t="s">
        <v>69</v>
      </c>
      <c r="G9" s="6" t="s">
        <v>70</v>
      </c>
      <c r="H9" s="6" t="s">
        <v>71</v>
      </c>
    </row>
    <row r="10" spans="1:8" x14ac:dyDescent="0.3">
      <c r="A10" s="19">
        <v>46113</v>
      </c>
      <c r="B10" s="12">
        <f t="shared" ref="B10:B39" si="0">+A10</f>
        <v>46113</v>
      </c>
      <c r="C10" s="13"/>
      <c r="D10" s="13"/>
      <c r="E10" s="7"/>
      <c r="F10" s="14">
        <f t="shared" ref="F10:F39" si="1">+(D10-C10)*24-E10</f>
        <v>0</v>
      </c>
      <c r="G10" s="15" t="str">
        <f t="shared" ref="G10:G39" si="2">+IF(C10&gt;0.333333333333333,+(C10-0.333333333333333)*24*60,"0")</f>
        <v>0</v>
      </c>
      <c r="H10" s="3"/>
    </row>
    <row r="11" spans="1:8" x14ac:dyDescent="0.3">
      <c r="A11" s="19">
        <v>46114</v>
      </c>
      <c r="B11" s="12">
        <f t="shared" si="0"/>
        <v>46114</v>
      </c>
      <c r="C11" s="13"/>
      <c r="D11" s="13"/>
      <c r="E11" s="7"/>
      <c r="F11" s="14">
        <f t="shared" si="1"/>
        <v>0</v>
      </c>
      <c r="G11" s="15" t="str">
        <f t="shared" si="2"/>
        <v>0</v>
      </c>
      <c r="H11" s="3"/>
    </row>
    <row r="12" spans="1:8" x14ac:dyDescent="0.3">
      <c r="A12" s="19">
        <v>46115</v>
      </c>
      <c r="B12" s="12">
        <f t="shared" si="0"/>
        <v>46115</v>
      </c>
      <c r="C12" s="13"/>
      <c r="D12" s="13"/>
      <c r="E12" s="7"/>
      <c r="F12" s="14">
        <f t="shared" si="1"/>
        <v>0</v>
      </c>
      <c r="G12" s="15" t="str">
        <f t="shared" si="2"/>
        <v>0</v>
      </c>
      <c r="H12" s="3" t="s">
        <v>72</v>
      </c>
    </row>
    <row r="13" spans="1:8" x14ac:dyDescent="0.3">
      <c r="A13" s="19">
        <v>46116</v>
      </c>
      <c r="B13" s="12">
        <f t="shared" si="0"/>
        <v>46116</v>
      </c>
      <c r="C13" s="13"/>
      <c r="D13" s="13"/>
      <c r="E13" s="7"/>
      <c r="F13" s="14">
        <f t="shared" si="1"/>
        <v>0</v>
      </c>
      <c r="G13" s="15" t="str">
        <f t="shared" si="2"/>
        <v>0</v>
      </c>
      <c r="H13" s="3"/>
    </row>
    <row r="14" spans="1:8" x14ac:dyDescent="0.3">
      <c r="A14" s="19">
        <v>46117</v>
      </c>
      <c r="B14" s="12">
        <f t="shared" si="0"/>
        <v>46117</v>
      </c>
      <c r="C14" s="13"/>
      <c r="D14" s="13"/>
      <c r="E14" s="7"/>
      <c r="F14" s="14">
        <f t="shared" si="1"/>
        <v>0</v>
      </c>
      <c r="G14" s="15" t="str">
        <f t="shared" si="2"/>
        <v>0</v>
      </c>
      <c r="H14" s="3"/>
    </row>
    <row r="15" spans="1:8" x14ac:dyDescent="0.3">
      <c r="A15" s="19">
        <v>46118</v>
      </c>
      <c r="B15" s="12">
        <f t="shared" si="0"/>
        <v>46118</v>
      </c>
      <c r="C15" s="13"/>
      <c r="D15" s="13"/>
      <c r="E15" s="7"/>
      <c r="F15" s="14">
        <f t="shared" si="1"/>
        <v>0</v>
      </c>
      <c r="G15" s="15" t="str">
        <f t="shared" si="2"/>
        <v>0</v>
      </c>
      <c r="H15" s="3"/>
    </row>
    <row r="16" spans="1:8" x14ac:dyDescent="0.3">
      <c r="A16" s="19">
        <v>46119</v>
      </c>
      <c r="B16" s="12">
        <f t="shared" si="0"/>
        <v>46119</v>
      </c>
      <c r="C16" s="13"/>
      <c r="D16" s="13"/>
      <c r="E16" s="7"/>
      <c r="F16" s="14">
        <f t="shared" si="1"/>
        <v>0</v>
      </c>
      <c r="G16" s="15" t="str">
        <f t="shared" si="2"/>
        <v>0</v>
      </c>
      <c r="H16" s="3"/>
    </row>
    <row r="17" spans="1:8" x14ac:dyDescent="0.3">
      <c r="A17" s="19">
        <v>46120</v>
      </c>
      <c r="B17" s="12">
        <f t="shared" si="0"/>
        <v>46120</v>
      </c>
      <c r="C17" s="13"/>
      <c r="D17" s="13"/>
      <c r="E17" s="7"/>
      <c r="F17" s="14">
        <f t="shared" si="1"/>
        <v>0</v>
      </c>
      <c r="G17" s="15" t="str">
        <f t="shared" si="2"/>
        <v>0</v>
      </c>
      <c r="H17" s="3"/>
    </row>
    <row r="18" spans="1:8" x14ac:dyDescent="0.3">
      <c r="A18" s="19">
        <v>46121</v>
      </c>
      <c r="B18" s="12">
        <f t="shared" si="0"/>
        <v>46121</v>
      </c>
      <c r="C18" s="13"/>
      <c r="D18" s="13"/>
      <c r="E18" s="7"/>
      <c r="F18" s="14">
        <f t="shared" si="1"/>
        <v>0</v>
      </c>
      <c r="G18" s="15" t="str">
        <f t="shared" si="2"/>
        <v>0</v>
      </c>
      <c r="H18" s="3"/>
    </row>
    <row r="19" spans="1:8" x14ac:dyDescent="0.3">
      <c r="A19" s="19">
        <v>46122</v>
      </c>
      <c r="B19" s="12">
        <f t="shared" si="0"/>
        <v>46122</v>
      </c>
      <c r="C19" s="13"/>
      <c r="D19" s="13"/>
      <c r="E19" s="7"/>
      <c r="F19" s="14">
        <f t="shared" si="1"/>
        <v>0</v>
      </c>
      <c r="G19" s="15" t="str">
        <f t="shared" si="2"/>
        <v>0</v>
      </c>
      <c r="H19" s="3"/>
    </row>
    <row r="20" spans="1:8" x14ac:dyDescent="0.3">
      <c r="A20" s="19">
        <v>46123</v>
      </c>
      <c r="B20" s="12">
        <f t="shared" si="0"/>
        <v>46123</v>
      </c>
      <c r="C20" s="13"/>
      <c r="D20" s="13"/>
      <c r="E20" s="7"/>
      <c r="F20" s="14">
        <f t="shared" si="1"/>
        <v>0</v>
      </c>
      <c r="G20" s="15" t="str">
        <f t="shared" si="2"/>
        <v>0</v>
      </c>
      <c r="H20" s="3"/>
    </row>
    <row r="21" spans="1:8" x14ac:dyDescent="0.3">
      <c r="A21" s="19">
        <v>46124</v>
      </c>
      <c r="B21" s="12">
        <f t="shared" si="0"/>
        <v>46124</v>
      </c>
      <c r="C21" s="13"/>
      <c r="D21" s="13"/>
      <c r="E21" s="7"/>
      <c r="F21" s="14">
        <f t="shared" si="1"/>
        <v>0</v>
      </c>
      <c r="G21" s="15" t="str">
        <f t="shared" si="2"/>
        <v>0</v>
      </c>
      <c r="H21" s="3"/>
    </row>
    <row r="22" spans="1:8" x14ac:dyDescent="0.3">
      <c r="A22" s="19">
        <v>46125</v>
      </c>
      <c r="B22" s="12">
        <f t="shared" si="0"/>
        <v>46125</v>
      </c>
      <c r="C22" s="13"/>
      <c r="D22" s="13"/>
      <c r="E22" s="7"/>
      <c r="F22" s="14">
        <f t="shared" si="1"/>
        <v>0</v>
      </c>
      <c r="G22" s="15" t="str">
        <f t="shared" si="2"/>
        <v>0</v>
      </c>
      <c r="H22" s="3"/>
    </row>
    <row r="23" spans="1:8" x14ac:dyDescent="0.3">
      <c r="A23" s="19">
        <v>46126</v>
      </c>
      <c r="B23" s="12">
        <f t="shared" si="0"/>
        <v>46126</v>
      </c>
      <c r="C23" s="13">
        <v>0.33333333333333331</v>
      </c>
      <c r="D23" s="13">
        <v>0.75</v>
      </c>
      <c r="E23" s="7">
        <v>1</v>
      </c>
      <c r="F23" s="14">
        <f t="shared" si="1"/>
        <v>9</v>
      </c>
      <c r="G23" s="15" t="str">
        <f t="shared" si="2"/>
        <v>0</v>
      </c>
      <c r="H23" s="3"/>
    </row>
    <row r="24" spans="1:8" x14ac:dyDescent="0.3">
      <c r="A24" s="19">
        <v>46127</v>
      </c>
      <c r="B24" s="12">
        <f t="shared" si="0"/>
        <v>46127</v>
      </c>
      <c r="C24" s="13">
        <v>0.3527777777777778</v>
      </c>
      <c r="D24" s="13">
        <v>0.75277777777777777</v>
      </c>
      <c r="E24" s="7">
        <v>1</v>
      </c>
      <c r="F24" s="14">
        <f t="shared" si="1"/>
        <v>8.6</v>
      </c>
      <c r="G24" s="15">
        <f t="shared" si="2"/>
        <v>28.00000000000054</v>
      </c>
      <c r="H24" s="3"/>
    </row>
    <row r="25" spans="1:8" x14ac:dyDescent="0.3">
      <c r="A25" s="19">
        <v>46128</v>
      </c>
      <c r="B25" s="12">
        <f t="shared" si="0"/>
        <v>46128</v>
      </c>
      <c r="C25" s="13">
        <v>0.34097222222222218</v>
      </c>
      <c r="D25" s="13">
        <v>0.75555555555555554</v>
      </c>
      <c r="E25" s="7">
        <v>1</v>
      </c>
      <c r="F25" s="14">
        <f t="shared" si="1"/>
        <v>8.9500000000000011</v>
      </c>
      <c r="G25" s="15">
        <f t="shared" si="2"/>
        <v>11.000000000000441</v>
      </c>
      <c r="H25" s="3"/>
    </row>
    <row r="26" spans="1:8" x14ac:dyDescent="0.3">
      <c r="A26" s="19">
        <v>46129</v>
      </c>
      <c r="B26" s="12">
        <f t="shared" si="0"/>
        <v>46129</v>
      </c>
      <c r="C26" s="13">
        <v>0.3298611111111111</v>
      </c>
      <c r="D26" s="13">
        <v>0.75555555555555554</v>
      </c>
      <c r="E26" s="7">
        <v>1</v>
      </c>
      <c r="F26" s="14">
        <f t="shared" si="1"/>
        <v>9.2166666666666668</v>
      </c>
      <c r="G26" s="15" t="str">
        <f t="shared" si="2"/>
        <v>0</v>
      </c>
      <c r="H26" s="3"/>
    </row>
    <row r="27" spans="1:8" x14ac:dyDescent="0.3">
      <c r="A27" s="19">
        <v>46130</v>
      </c>
      <c r="B27" s="12">
        <f t="shared" si="0"/>
        <v>46130</v>
      </c>
      <c r="C27" s="13">
        <v>0.37152777777777779</v>
      </c>
      <c r="D27" s="13">
        <v>0.46250000000000002</v>
      </c>
      <c r="E27" s="7">
        <v>1</v>
      </c>
      <c r="F27" s="14">
        <f t="shared" si="1"/>
        <v>1.1833333333333336</v>
      </c>
      <c r="G27" s="15">
        <f t="shared" si="2"/>
        <v>55.000000000000526</v>
      </c>
      <c r="H27" s="3"/>
    </row>
    <row r="28" spans="1:8" x14ac:dyDescent="0.3">
      <c r="A28" s="19">
        <v>46131</v>
      </c>
      <c r="B28" s="12">
        <f t="shared" si="0"/>
        <v>46131</v>
      </c>
      <c r="C28" s="13"/>
      <c r="D28" s="13"/>
      <c r="E28" s="7"/>
      <c r="F28" s="14">
        <f t="shared" si="1"/>
        <v>0</v>
      </c>
      <c r="G28" s="15" t="str">
        <f t="shared" si="2"/>
        <v>0</v>
      </c>
      <c r="H28" s="3"/>
    </row>
    <row r="29" spans="1:8" x14ac:dyDescent="0.3">
      <c r="A29" s="19">
        <v>46132</v>
      </c>
      <c r="B29" s="12">
        <f t="shared" si="0"/>
        <v>46132</v>
      </c>
      <c r="C29" s="13">
        <v>0.32500000000000001</v>
      </c>
      <c r="D29" s="13">
        <v>0.7270833333333333</v>
      </c>
      <c r="E29" s="7">
        <v>1</v>
      </c>
      <c r="F29" s="14">
        <f t="shared" si="1"/>
        <v>8.6499999999999986</v>
      </c>
      <c r="G29" s="15" t="str">
        <f t="shared" si="2"/>
        <v>0</v>
      </c>
      <c r="H29" s="3"/>
    </row>
    <row r="30" spans="1:8" x14ac:dyDescent="0.3">
      <c r="A30" s="19">
        <v>46133</v>
      </c>
      <c r="B30" s="12">
        <f t="shared" si="0"/>
        <v>46133</v>
      </c>
      <c r="C30" s="13"/>
      <c r="D30" s="13"/>
      <c r="E30" s="7"/>
      <c r="F30" s="14">
        <f t="shared" si="1"/>
        <v>0</v>
      </c>
      <c r="G30" s="15" t="str">
        <f t="shared" si="2"/>
        <v>0</v>
      </c>
      <c r="H30" s="3"/>
    </row>
    <row r="31" spans="1:8" x14ac:dyDescent="0.3">
      <c r="A31" s="19">
        <v>46134</v>
      </c>
      <c r="B31" s="12">
        <f t="shared" si="0"/>
        <v>46134</v>
      </c>
      <c r="C31" s="13"/>
      <c r="D31" s="13"/>
      <c r="E31" s="7"/>
      <c r="F31" s="14">
        <f t="shared" si="1"/>
        <v>0</v>
      </c>
      <c r="G31" s="15" t="str">
        <f t="shared" si="2"/>
        <v>0</v>
      </c>
      <c r="H31" s="3"/>
    </row>
    <row r="32" spans="1:8" x14ac:dyDescent="0.3">
      <c r="A32" s="19">
        <v>46135</v>
      </c>
      <c r="B32" s="12">
        <f t="shared" si="0"/>
        <v>46135</v>
      </c>
      <c r="C32" s="13"/>
      <c r="D32" s="13"/>
      <c r="E32" s="7"/>
      <c r="F32" s="14">
        <f t="shared" si="1"/>
        <v>0</v>
      </c>
      <c r="G32" s="15" t="str">
        <f t="shared" si="2"/>
        <v>0</v>
      </c>
      <c r="H32" s="3"/>
    </row>
    <row r="33" spans="1:8" x14ac:dyDescent="0.3">
      <c r="A33" s="19">
        <v>46136</v>
      </c>
      <c r="B33" s="12">
        <f t="shared" si="0"/>
        <v>46136</v>
      </c>
      <c r="C33" s="13"/>
      <c r="D33" s="13"/>
      <c r="E33" s="7"/>
      <c r="F33" s="14">
        <f t="shared" si="1"/>
        <v>0</v>
      </c>
      <c r="G33" s="15" t="str">
        <f t="shared" si="2"/>
        <v>0</v>
      </c>
      <c r="H33" s="3"/>
    </row>
    <row r="34" spans="1:8" x14ac:dyDescent="0.3">
      <c r="A34" s="19">
        <v>46137</v>
      </c>
      <c r="B34" s="12">
        <f t="shared" si="0"/>
        <v>46137</v>
      </c>
      <c r="C34" s="13"/>
      <c r="D34" s="13"/>
      <c r="E34" s="7"/>
      <c r="F34" s="14">
        <f t="shared" si="1"/>
        <v>0</v>
      </c>
      <c r="G34" s="15" t="str">
        <f t="shared" si="2"/>
        <v>0</v>
      </c>
      <c r="H34" s="3"/>
    </row>
    <row r="35" spans="1:8" x14ac:dyDescent="0.3">
      <c r="A35" s="19">
        <v>46138</v>
      </c>
      <c r="B35" s="12">
        <f t="shared" si="0"/>
        <v>46138</v>
      </c>
      <c r="C35" s="13"/>
      <c r="D35" s="13"/>
      <c r="E35" s="7"/>
      <c r="F35" s="14">
        <f t="shared" si="1"/>
        <v>0</v>
      </c>
      <c r="G35" s="15" t="str">
        <f t="shared" si="2"/>
        <v>0</v>
      </c>
      <c r="H35" s="3"/>
    </row>
    <row r="36" spans="1:8" x14ac:dyDescent="0.3">
      <c r="A36" s="19">
        <v>46139</v>
      </c>
      <c r="B36" s="12">
        <f t="shared" si="0"/>
        <v>46139</v>
      </c>
      <c r="C36" s="13"/>
      <c r="D36" s="13"/>
      <c r="E36" s="7"/>
      <c r="F36" s="14">
        <f t="shared" si="1"/>
        <v>0</v>
      </c>
      <c r="G36" s="15" t="str">
        <f t="shared" si="2"/>
        <v>0</v>
      </c>
      <c r="H36" s="3"/>
    </row>
    <row r="37" spans="1:8" x14ac:dyDescent="0.3">
      <c r="A37" s="19">
        <v>46140</v>
      </c>
      <c r="B37" s="12">
        <f t="shared" si="0"/>
        <v>46140</v>
      </c>
      <c r="C37" s="13"/>
      <c r="D37" s="13"/>
      <c r="E37" s="7"/>
      <c r="F37" s="14">
        <f t="shared" si="1"/>
        <v>0</v>
      </c>
      <c r="G37" s="15" t="str">
        <f t="shared" si="2"/>
        <v>0</v>
      </c>
      <c r="H37" s="3"/>
    </row>
    <row r="38" spans="1:8" x14ac:dyDescent="0.3">
      <c r="A38" s="19">
        <v>46141</v>
      </c>
      <c r="B38" s="12">
        <f t="shared" si="0"/>
        <v>46141</v>
      </c>
      <c r="C38" s="13"/>
      <c r="D38" s="13"/>
      <c r="E38" s="7"/>
      <c r="F38" s="14">
        <f t="shared" si="1"/>
        <v>0</v>
      </c>
      <c r="G38" s="15" t="str">
        <f t="shared" si="2"/>
        <v>0</v>
      </c>
      <c r="H38" s="3"/>
    </row>
    <row r="39" spans="1:8" x14ac:dyDescent="0.3">
      <c r="A39" s="19">
        <v>46142</v>
      </c>
      <c r="B39" s="12">
        <f t="shared" si="0"/>
        <v>46142</v>
      </c>
      <c r="C39" s="13"/>
      <c r="D39" s="13"/>
      <c r="E39" s="7"/>
      <c r="F39" s="14">
        <f t="shared" si="1"/>
        <v>0</v>
      </c>
      <c r="G39" s="15" t="str">
        <f t="shared" si="2"/>
        <v>0</v>
      </c>
      <c r="H39" s="3"/>
    </row>
    <row r="40" spans="1:8" x14ac:dyDescent="0.3">
      <c r="A40" s="44" t="s">
        <v>73</v>
      </c>
      <c r="B40" s="23"/>
      <c r="C40" s="45">
        <f>+COUNT(C10:C39)</f>
        <v>6</v>
      </c>
      <c r="D40" s="23"/>
      <c r="E40" s="23"/>
      <c r="F40" s="23"/>
      <c r="G40" s="23"/>
    </row>
    <row r="41" spans="1:8" x14ac:dyDescent="0.3">
      <c r="A41" s="44" t="s">
        <v>74</v>
      </c>
      <c r="B41" s="23"/>
      <c r="C41" s="46">
        <f>SUM(F10:F39)</f>
        <v>45.6</v>
      </c>
      <c r="D41" s="23"/>
      <c r="E41" s="23"/>
      <c r="F41" s="23"/>
      <c r="G41" s="23"/>
    </row>
    <row r="42" spans="1:8" x14ac:dyDescent="0.3">
      <c r="A42" s="44" t="s">
        <v>75</v>
      </c>
      <c r="B42" s="23"/>
      <c r="C42" s="45">
        <f>SUM(G10:G39)</f>
        <v>94.000000000001506</v>
      </c>
      <c r="D42" s="23"/>
      <c r="E42" s="23"/>
      <c r="F42" s="23"/>
      <c r="G42" s="23"/>
    </row>
  </sheetData>
  <mergeCells count="7">
    <mergeCell ref="A41:B41"/>
    <mergeCell ref="C42:G42"/>
    <mergeCell ref="A2:H2"/>
    <mergeCell ref="A42:B42"/>
    <mergeCell ref="C41:G41"/>
    <mergeCell ref="A40:B40"/>
    <mergeCell ref="C40:G4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42"/>
  <sheetViews>
    <sheetView workbookViewId="0">
      <selection activeCell="C8" sqref="C8"/>
    </sheetView>
  </sheetViews>
  <sheetFormatPr defaultRowHeight="14.4" x14ac:dyDescent="0.3"/>
  <cols>
    <col min="1" max="1" width="15.88671875" customWidth="1"/>
    <col min="2" max="2" width="14.33203125" customWidth="1"/>
    <col min="3" max="3" width="14.109375" customWidth="1"/>
    <col min="4" max="4" width="12.33203125" customWidth="1"/>
    <col min="5" max="5" width="13" customWidth="1"/>
    <col min="6" max="6" width="14.88671875" customWidth="1"/>
    <col min="7" max="7" width="17.44140625" customWidth="1"/>
    <col min="8" max="8" width="24" customWidth="1"/>
  </cols>
  <sheetData>
    <row r="2" spans="1:8" x14ac:dyDescent="0.3">
      <c r="A2" s="22" t="s">
        <v>63</v>
      </c>
      <c r="B2" s="23"/>
      <c r="C2" s="23"/>
      <c r="D2" s="23"/>
      <c r="E2" s="23"/>
      <c r="F2" s="23"/>
      <c r="G2" s="23"/>
      <c r="H2" s="23"/>
    </row>
    <row r="3" spans="1:8" ht="4.8" customHeight="1" x14ac:dyDescent="0.3"/>
    <row r="4" spans="1:8" x14ac:dyDescent="0.3">
      <c r="A4" s="16" t="s">
        <v>13</v>
      </c>
      <c r="B4" s="17">
        <v>5</v>
      </c>
    </row>
    <row r="5" spans="1:8" x14ac:dyDescent="0.3">
      <c r="A5" s="16" t="s">
        <v>14</v>
      </c>
      <c r="B5" s="17" t="s">
        <v>30</v>
      </c>
    </row>
    <row r="6" spans="1:8" x14ac:dyDescent="0.3">
      <c r="A6" s="16" t="s">
        <v>15</v>
      </c>
      <c r="B6" s="17" t="s">
        <v>31</v>
      </c>
    </row>
    <row r="7" spans="1:8" x14ac:dyDescent="0.3">
      <c r="A7" s="16" t="s">
        <v>17</v>
      </c>
      <c r="B7" s="18">
        <v>9165</v>
      </c>
      <c r="C7" t="s">
        <v>76</v>
      </c>
    </row>
    <row r="8" spans="1:8" ht="4.8" customHeight="1" x14ac:dyDescent="0.3"/>
    <row r="9" spans="1:8" ht="28.8" x14ac:dyDescent="0.3">
      <c r="A9" s="6" t="s">
        <v>64</v>
      </c>
      <c r="B9" s="6" t="s">
        <v>65</v>
      </c>
      <c r="C9" s="6" t="s">
        <v>66</v>
      </c>
      <c r="D9" s="6" t="s">
        <v>67</v>
      </c>
      <c r="E9" s="6" t="s">
        <v>68</v>
      </c>
      <c r="F9" s="6" t="s">
        <v>69</v>
      </c>
      <c r="G9" s="6" t="s">
        <v>70</v>
      </c>
      <c r="H9" s="6" t="s">
        <v>71</v>
      </c>
    </row>
    <row r="10" spans="1:8" x14ac:dyDescent="0.3">
      <c r="A10" s="8">
        <v>46113</v>
      </c>
      <c r="B10" s="12">
        <f t="shared" ref="B10:B39" si="0">+A10</f>
        <v>46113</v>
      </c>
      <c r="C10" s="13">
        <v>0.33333333333333331</v>
      </c>
      <c r="D10" s="13">
        <v>0.70833333333333337</v>
      </c>
      <c r="E10" s="7">
        <v>1</v>
      </c>
      <c r="F10" s="14">
        <f t="shared" ref="F10:F39" si="1">+(D10-C10)*24-E10</f>
        <v>8.0000000000000018</v>
      </c>
      <c r="G10" s="15" t="str">
        <f t="shared" ref="G10:G39" si="2">+IF(C10&gt;0.333333333333333,+(C10-0.333333333333333)*24*60,"0")</f>
        <v>0</v>
      </c>
      <c r="H10" s="3"/>
    </row>
    <row r="11" spans="1:8" x14ac:dyDescent="0.3">
      <c r="A11" s="8">
        <v>46114</v>
      </c>
      <c r="B11" s="12">
        <f t="shared" si="0"/>
        <v>46114</v>
      </c>
      <c r="C11" s="13">
        <v>0.63263888888888886</v>
      </c>
      <c r="D11" s="13">
        <v>0.70833333333333337</v>
      </c>
      <c r="E11" s="7">
        <v>1</v>
      </c>
      <c r="F11" s="14">
        <f t="shared" si="1"/>
        <v>0.81666666666666821</v>
      </c>
      <c r="G11" s="15">
        <f t="shared" si="2"/>
        <v>431.00000000000045</v>
      </c>
      <c r="H11" s="3"/>
    </row>
    <row r="12" spans="1:8" x14ac:dyDescent="0.3">
      <c r="A12" s="8">
        <v>46115</v>
      </c>
      <c r="B12" s="12">
        <f t="shared" si="0"/>
        <v>46115</v>
      </c>
      <c r="C12" s="13"/>
      <c r="D12" s="13"/>
      <c r="E12" s="7"/>
      <c r="F12" s="14">
        <f t="shared" si="1"/>
        <v>0</v>
      </c>
      <c r="G12" s="15" t="str">
        <f t="shared" si="2"/>
        <v>0</v>
      </c>
      <c r="H12" s="3" t="s">
        <v>72</v>
      </c>
    </row>
    <row r="13" spans="1:8" x14ac:dyDescent="0.3">
      <c r="A13" s="8">
        <v>46116</v>
      </c>
      <c r="B13" s="12">
        <f t="shared" si="0"/>
        <v>46116</v>
      </c>
      <c r="C13" s="13"/>
      <c r="D13" s="13"/>
      <c r="E13" s="7"/>
      <c r="F13" s="14">
        <f t="shared" si="1"/>
        <v>0</v>
      </c>
      <c r="G13" s="15" t="str">
        <f t="shared" si="2"/>
        <v>0</v>
      </c>
      <c r="H13" s="3"/>
    </row>
    <row r="14" spans="1:8" x14ac:dyDescent="0.3">
      <c r="A14" s="8">
        <v>46117</v>
      </c>
      <c r="B14" s="12">
        <f t="shared" si="0"/>
        <v>46117</v>
      </c>
      <c r="C14" s="13"/>
      <c r="D14" s="13"/>
      <c r="E14" s="7"/>
      <c r="F14" s="14">
        <f t="shared" si="1"/>
        <v>0</v>
      </c>
      <c r="G14" s="15" t="str">
        <f t="shared" si="2"/>
        <v>0</v>
      </c>
      <c r="H14" s="3"/>
    </row>
    <row r="15" spans="1:8" x14ac:dyDescent="0.3">
      <c r="A15" s="8">
        <v>46118</v>
      </c>
      <c r="B15" s="12">
        <f t="shared" si="0"/>
        <v>46118</v>
      </c>
      <c r="C15" s="13">
        <v>0.34652777777777782</v>
      </c>
      <c r="D15" s="13">
        <v>0.77638888888888891</v>
      </c>
      <c r="E15" s="7">
        <v>1</v>
      </c>
      <c r="F15" s="14">
        <f t="shared" si="1"/>
        <v>9.3166666666666664</v>
      </c>
      <c r="G15" s="15">
        <f t="shared" si="2"/>
        <v>19.000000000000572</v>
      </c>
      <c r="H15" s="3"/>
    </row>
    <row r="16" spans="1:8" x14ac:dyDescent="0.3">
      <c r="A16" s="8">
        <v>46119</v>
      </c>
      <c r="B16" s="12">
        <f t="shared" si="0"/>
        <v>46119</v>
      </c>
      <c r="C16" s="13">
        <v>0.34236111111111112</v>
      </c>
      <c r="D16" s="13">
        <v>0.77638888888888891</v>
      </c>
      <c r="E16" s="7">
        <v>1</v>
      </c>
      <c r="F16" s="14">
        <f t="shared" si="1"/>
        <v>9.4166666666666679</v>
      </c>
      <c r="G16" s="15">
        <f t="shared" si="2"/>
        <v>13.000000000000513</v>
      </c>
      <c r="H16" s="3"/>
    </row>
    <row r="17" spans="1:8" x14ac:dyDescent="0.3">
      <c r="A17" s="8">
        <v>46120</v>
      </c>
      <c r="B17" s="12">
        <f t="shared" si="0"/>
        <v>46120</v>
      </c>
      <c r="C17" s="13">
        <v>0.33888888888888891</v>
      </c>
      <c r="D17" s="13">
        <v>0.77430555555555558</v>
      </c>
      <c r="E17" s="7">
        <v>1</v>
      </c>
      <c r="F17" s="14">
        <f t="shared" si="1"/>
        <v>9.4499999999999993</v>
      </c>
      <c r="G17" s="15">
        <f t="shared" si="2"/>
        <v>8.0000000000005311</v>
      </c>
      <c r="H17" s="3"/>
    </row>
    <row r="18" spans="1:8" x14ac:dyDescent="0.3">
      <c r="A18" s="8">
        <v>46121</v>
      </c>
      <c r="B18" s="12">
        <f t="shared" si="0"/>
        <v>46121</v>
      </c>
      <c r="C18" s="13">
        <v>0.34166666666666667</v>
      </c>
      <c r="D18" s="13">
        <v>0.77638888888888891</v>
      </c>
      <c r="E18" s="7">
        <v>1</v>
      </c>
      <c r="F18" s="14">
        <f t="shared" si="1"/>
        <v>9.4333333333333336</v>
      </c>
      <c r="G18" s="15">
        <f t="shared" si="2"/>
        <v>12.000000000000517</v>
      </c>
      <c r="H18" s="3"/>
    </row>
    <row r="19" spans="1:8" x14ac:dyDescent="0.3">
      <c r="A19" s="8">
        <v>46122</v>
      </c>
      <c r="B19" s="12">
        <f t="shared" si="0"/>
        <v>46122</v>
      </c>
      <c r="C19" s="13">
        <v>0.33958333333333329</v>
      </c>
      <c r="D19" s="13">
        <v>0.77361111111111114</v>
      </c>
      <c r="E19" s="7">
        <v>1</v>
      </c>
      <c r="F19" s="14">
        <f t="shared" si="1"/>
        <v>9.4166666666666679</v>
      </c>
      <c r="G19" s="15">
        <f t="shared" si="2"/>
        <v>9.0000000000004476</v>
      </c>
      <c r="H19" s="3"/>
    </row>
    <row r="20" spans="1:8" x14ac:dyDescent="0.3">
      <c r="A20" s="8">
        <v>46123</v>
      </c>
      <c r="B20" s="12">
        <f t="shared" si="0"/>
        <v>46123</v>
      </c>
      <c r="C20" s="13"/>
      <c r="D20" s="13"/>
      <c r="E20" s="7"/>
      <c r="F20" s="14">
        <f t="shared" si="1"/>
        <v>0</v>
      </c>
      <c r="G20" s="15" t="str">
        <f t="shared" si="2"/>
        <v>0</v>
      </c>
      <c r="H20" s="3"/>
    </row>
    <row r="21" spans="1:8" x14ac:dyDescent="0.3">
      <c r="A21" s="8">
        <v>46124</v>
      </c>
      <c r="B21" s="12">
        <f t="shared" si="0"/>
        <v>46124</v>
      </c>
      <c r="C21" s="13"/>
      <c r="D21" s="13"/>
      <c r="E21" s="7"/>
      <c r="F21" s="14">
        <f t="shared" si="1"/>
        <v>0</v>
      </c>
      <c r="G21" s="15" t="str">
        <f t="shared" si="2"/>
        <v>0</v>
      </c>
      <c r="H21" s="3"/>
    </row>
    <row r="22" spans="1:8" x14ac:dyDescent="0.3">
      <c r="A22" s="8">
        <v>46125</v>
      </c>
      <c r="B22" s="12">
        <f t="shared" si="0"/>
        <v>46125</v>
      </c>
      <c r="C22" s="13">
        <v>0.33888888888888891</v>
      </c>
      <c r="D22" s="13">
        <v>0.77083333333333337</v>
      </c>
      <c r="E22" s="7">
        <v>1</v>
      </c>
      <c r="F22" s="14">
        <f t="shared" si="1"/>
        <v>9.3666666666666671</v>
      </c>
      <c r="G22" s="15">
        <f t="shared" si="2"/>
        <v>8.0000000000005311</v>
      </c>
      <c r="H22" s="3"/>
    </row>
    <row r="23" spans="1:8" x14ac:dyDescent="0.3">
      <c r="A23" s="8">
        <v>46126</v>
      </c>
      <c r="B23" s="12">
        <f t="shared" si="0"/>
        <v>46126</v>
      </c>
      <c r="C23" s="13">
        <v>0.33888888888888891</v>
      </c>
      <c r="D23" s="13">
        <v>0.77361111111111114</v>
      </c>
      <c r="E23" s="7">
        <v>1</v>
      </c>
      <c r="F23" s="14">
        <f t="shared" si="1"/>
        <v>9.4333333333333336</v>
      </c>
      <c r="G23" s="15">
        <f t="shared" si="2"/>
        <v>8.0000000000005311</v>
      </c>
      <c r="H23" s="3"/>
    </row>
    <row r="24" spans="1:8" x14ac:dyDescent="0.3">
      <c r="A24" s="8">
        <v>46127</v>
      </c>
      <c r="B24" s="12">
        <f t="shared" si="0"/>
        <v>46127</v>
      </c>
      <c r="C24" s="13">
        <v>0.33958333333333329</v>
      </c>
      <c r="D24" s="13">
        <v>0.77222222222222225</v>
      </c>
      <c r="E24" s="7">
        <v>1</v>
      </c>
      <c r="F24" s="14">
        <f t="shared" si="1"/>
        <v>9.3833333333333346</v>
      </c>
      <c r="G24" s="15">
        <f t="shared" si="2"/>
        <v>9.0000000000004476</v>
      </c>
      <c r="H24" s="3"/>
    </row>
    <row r="25" spans="1:8" x14ac:dyDescent="0.3">
      <c r="A25" s="8">
        <v>46128</v>
      </c>
      <c r="B25" s="12">
        <f t="shared" si="0"/>
        <v>46128</v>
      </c>
      <c r="C25" s="13">
        <v>0.33402777777777781</v>
      </c>
      <c r="D25" s="13">
        <v>0.77361111111111114</v>
      </c>
      <c r="E25" s="7">
        <v>1</v>
      </c>
      <c r="F25" s="14">
        <f t="shared" si="1"/>
        <v>9.5500000000000007</v>
      </c>
      <c r="G25" s="15">
        <f t="shared" si="2"/>
        <v>1.000000000000556</v>
      </c>
      <c r="H25" s="3"/>
    </row>
    <row r="26" spans="1:8" x14ac:dyDescent="0.3">
      <c r="A26" s="8">
        <v>46129</v>
      </c>
      <c r="B26" s="12">
        <f t="shared" si="0"/>
        <v>46129</v>
      </c>
      <c r="C26" s="13">
        <v>0.33680555555555558</v>
      </c>
      <c r="D26" s="13">
        <v>0.7729166666666667</v>
      </c>
      <c r="E26" s="7">
        <v>1</v>
      </c>
      <c r="F26" s="14">
        <f t="shared" si="1"/>
        <v>9.4666666666666668</v>
      </c>
      <c r="G26" s="15">
        <f t="shared" si="2"/>
        <v>5.0000000000005418</v>
      </c>
      <c r="H26" s="3"/>
    </row>
    <row r="27" spans="1:8" x14ac:dyDescent="0.3">
      <c r="A27" s="8">
        <v>46130</v>
      </c>
      <c r="B27" s="12">
        <f t="shared" si="0"/>
        <v>46130</v>
      </c>
      <c r="C27" s="13"/>
      <c r="D27" s="13"/>
      <c r="E27" s="7"/>
      <c r="F27" s="14">
        <f t="shared" si="1"/>
        <v>0</v>
      </c>
      <c r="G27" s="15" t="str">
        <f t="shared" si="2"/>
        <v>0</v>
      </c>
      <c r="H27" s="3"/>
    </row>
    <row r="28" spans="1:8" x14ac:dyDescent="0.3">
      <c r="A28" s="8">
        <v>46131</v>
      </c>
      <c r="B28" s="12">
        <f t="shared" si="0"/>
        <v>46131</v>
      </c>
      <c r="C28" s="13"/>
      <c r="D28" s="13"/>
      <c r="E28" s="7"/>
      <c r="F28" s="14">
        <f t="shared" si="1"/>
        <v>0</v>
      </c>
      <c r="G28" s="15" t="str">
        <f t="shared" si="2"/>
        <v>0</v>
      </c>
      <c r="H28" s="3"/>
    </row>
    <row r="29" spans="1:8" x14ac:dyDescent="0.3">
      <c r="A29" s="8">
        <v>46132</v>
      </c>
      <c r="B29" s="12">
        <f t="shared" si="0"/>
        <v>46132</v>
      </c>
      <c r="C29" s="13">
        <v>0.34097222222222218</v>
      </c>
      <c r="D29" s="13">
        <v>0.77708333333333335</v>
      </c>
      <c r="E29" s="7">
        <v>1</v>
      </c>
      <c r="F29" s="14">
        <f t="shared" si="1"/>
        <v>9.4666666666666686</v>
      </c>
      <c r="G29" s="15">
        <f t="shared" si="2"/>
        <v>11.000000000000441</v>
      </c>
      <c r="H29" s="3"/>
    </row>
    <row r="30" spans="1:8" x14ac:dyDescent="0.3">
      <c r="A30" s="8">
        <v>46133</v>
      </c>
      <c r="B30" s="12">
        <f t="shared" si="0"/>
        <v>46133</v>
      </c>
      <c r="C30" s="13"/>
      <c r="D30" s="13"/>
      <c r="E30" s="7"/>
      <c r="F30" s="14">
        <f t="shared" si="1"/>
        <v>0</v>
      </c>
      <c r="G30" s="15" t="str">
        <f t="shared" si="2"/>
        <v>0</v>
      </c>
      <c r="H30" s="3"/>
    </row>
    <row r="31" spans="1:8" x14ac:dyDescent="0.3">
      <c r="A31" s="8">
        <v>46134</v>
      </c>
      <c r="B31" s="12">
        <f t="shared" si="0"/>
        <v>46134</v>
      </c>
      <c r="C31" s="13"/>
      <c r="D31" s="13"/>
      <c r="E31" s="7"/>
      <c r="F31" s="14">
        <f t="shared" si="1"/>
        <v>0</v>
      </c>
      <c r="G31" s="15" t="str">
        <f t="shared" si="2"/>
        <v>0</v>
      </c>
      <c r="H31" s="3"/>
    </row>
    <row r="32" spans="1:8" x14ac:dyDescent="0.3">
      <c r="A32" s="8">
        <v>46135</v>
      </c>
      <c r="B32" s="12">
        <f t="shared" si="0"/>
        <v>46135</v>
      </c>
      <c r="C32" s="13"/>
      <c r="D32" s="13"/>
      <c r="E32" s="7"/>
      <c r="F32" s="14">
        <f t="shared" si="1"/>
        <v>0</v>
      </c>
      <c r="G32" s="15" t="str">
        <f t="shared" si="2"/>
        <v>0</v>
      </c>
      <c r="H32" s="3"/>
    </row>
    <row r="33" spans="1:8" x14ac:dyDescent="0.3">
      <c r="A33" s="8">
        <v>46136</v>
      </c>
      <c r="B33" s="12">
        <f t="shared" si="0"/>
        <v>46136</v>
      </c>
      <c r="C33" s="13"/>
      <c r="D33" s="13"/>
      <c r="E33" s="7"/>
      <c r="F33" s="14">
        <f t="shared" si="1"/>
        <v>0</v>
      </c>
      <c r="G33" s="15" t="str">
        <f t="shared" si="2"/>
        <v>0</v>
      </c>
      <c r="H33" s="3"/>
    </row>
    <row r="34" spans="1:8" x14ac:dyDescent="0.3">
      <c r="A34" s="8">
        <v>46137</v>
      </c>
      <c r="B34" s="12">
        <f t="shared" si="0"/>
        <v>46137</v>
      </c>
      <c r="C34" s="13"/>
      <c r="D34" s="13"/>
      <c r="E34" s="7"/>
      <c r="F34" s="14">
        <f t="shared" si="1"/>
        <v>0</v>
      </c>
      <c r="G34" s="15" t="str">
        <f t="shared" si="2"/>
        <v>0</v>
      </c>
      <c r="H34" s="3"/>
    </row>
    <row r="35" spans="1:8" x14ac:dyDescent="0.3">
      <c r="A35" s="8">
        <v>46138</v>
      </c>
      <c r="B35" s="12">
        <f t="shared" si="0"/>
        <v>46138</v>
      </c>
      <c r="C35" s="13"/>
      <c r="D35" s="13"/>
      <c r="E35" s="7"/>
      <c r="F35" s="14">
        <f t="shared" si="1"/>
        <v>0</v>
      </c>
      <c r="G35" s="15" t="str">
        <f t="shared" si="2"/>
        <v>0</v>
      </c>
      <c r="H35" s="3"/>
    </row>
    <row r="36" spans="1:8" x14ac:dyDescent="0.3">
      <c r="A36" s="8">
        <v>46139</v>
      </c>
      <c r="B36" s="12">
        <f t="shared" si="0"/>
        <v>46139</v>
      </c>
      <c r="C36" s="13"/>
      <c r="D36" s="13"/>
      <c r="E36" s="7"/>
      <c r="F36" s="14">
        <f t="shared" si="1"/>
        <v>0</v>
      </c>
      <c r="G36" s="15" t="str">
        <f t="shared" si="2"/>
        <v>0</v>
      </c>
      <c r="H36" s="3"/>
    </row>
    <row r="37" spans="1:8" x14ac:dyDescent="0.3">
      <c r="A37" s="8">
        <v>46140</v>
      </c>
      <c r="B37" s="12">
        <f t="shared" si="0"/>
        <v>46140</v>
      </c>
      <c r="C37" s="13"/>
      <c r="D37" s="13"/>
      <c r="E37" s="7"/>
      <c r="F37" s="14">
        <f t="shared" si="1"/>
        <v>0</v>
      </c>
      <c r="G37" s="15" t="str">
        <f t="shared" si="2"/>
        <v>0</v>
      </c>
      <c r="H37" s="3"/>
    </row>
    <row r="38" spans="1:8" x14ac:dyDescent="0.3">
      <c r="A38" s="8">
        <v>46141</v>
      </c>
      <c r="B38" s="12">
        <f t="shared" si="0"/>
        <v>46141</v>
      </c>
      <c r="C38" s="13"/>
      <c r="D38" s="13"/>
      <c r="E38" s="7"/>
      <c r="F38" s="14">
        <f t="shared" si="1"/>
        <v>0</v>
      </c>
      <c r="G38" s="15" t="str">
        <f t="shared" si="2"/>
        <v>0</v>
      </c>
      <c r="H38" s="3"/>
    </row>
    <row r="39" spans="1:8" x14ac:dyDescent="0.3">
      <c r="A39" s="8">
        <v>46142</v>
      </c>
      <c r="B39" s="12">
        <f t="shared" si="0"/>
        <v>46142</v>
      </c>
      <c r="C39" s="13"/>
      <c r="D39" s="13"/>
      <c r="E39" s="7"/>
      <c r="F39" s="14">
        <f t="shared" si="1"/>
        <v>0</v>
      </c>
      <c r="G39" s="15" t="str">
        <f t="shared" si="2"/>
        <v>0</v>
      </c>
      <c r="H39" s="3"/>
    </row>
    <row r="40" spans="1:8" x14ac:dyDescent="0.3">
      <c r="A40" s="44" t="s">
        <v>73</v>
      </c>
      <c r="B40" s="23"/>
      <c r="C40" s="45">
        <f>+COUNT(C10:C39)</f>
        <v>13</v>
      </c>
      <c r="D40" s="23"/>
      <c r="E40" s="23"/>
      <c r="F40" s="23"/>
      <c r="G40" s="23"/>
    </row>
    <row r="41" spans="1:8" x14ac:dyDescent="0.3">
      <c r="A41" s="44" t="s">
        <v>74</v>
      </c>
      <c r="B41" s="23"/>
      <c r="C41" s="46">
        <f>SUM(F10:F39)</f>
        <v>112.51666666666668</v>
      </c>
      <c r="D41" s="23"/>
      <c r="E41" s="23"/>
      <c r="F41" s="23"/>
      <c r="G41" s="23"/>
    </row>
    <row r="42" spans="1:8" x14ac:dyDescent="0.3">
      <c r="A42" s="44" t="s">
        <v>75</v>
      </c>
      <c r="B42" s="23"/>
      <c r="C42" s="45">
        <f>SUM(G10:G39)</f>
        <v>534.00000000000603</v>
      </c>
      <c r="D42" s="23"/>
      <c r="E42" s="23"/>
      <c r="F42" s="23"/>
      <c r="G42" s="23"/>
    </row>
  </sheetData>
  <mergeCells count="7">
    <mergeCell ref="A41:B41"/>
    <mergeCell ref="C42:G42"/>
    <mergeCell ref="A2:H2"/>
    <mergeCell ref="A42:B42"/>
    <mergeCell ref="C41:G41"/>
    <mergeCell ref="A40:B40"/>
    <mergeCell ref="C40:G4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42"/>
  <sheetViews>
    <sheetView workbookViewId="0">
      <selection activeCell="C17" sqref="C17:E17"/>
    </sheetView>
  </sheetViews>
  <sheetFormatPr defaultRowHeight="14.4" x14ac:dyDescent="0.3"/>
  <cols>
    <col min="1" max="1" width="15.88671875" customWidth="1"/>
    <col min="2" max="2" width="14.33203125" customWidth="1"/>
    <col min="3" max="3" width="14.109375" customWidth="1"/>
    <col min="4" max="4" width="12.33203125" customWidth="1"/>
    <col min="5" max="5" width="13" customWidth="1"/>
    <col min="6" max="6" width="14.88671875" customWidth="1"/>
    <col min="7" max="7" width="17.44140625" customWidth="1"/>
    <col min="8" max="8" width="19.77734375" bestFit="1" customWidth="1"/>
  </cols>
  <sheetData>
    <row r="2" spans="1:8" x14ac:dyDescent="0.3">
      <c r="A2" s="22" t="s">
        <v>63</v>
      </c>
      <c r="B2" s="23"/>
      <c r="C2" s="23"/>
      <c r="D2" s="23"/>
      <c r="E2" s="23"/>
      <c r="F2" s="23"/>
      <c r="G2" s="23"/>
      <c r="H2" s="23"/>
    </row>
    <row r="3" spans="1:8" ht="4.8" customHeight="1" x14ac:dyDescent="0.3"/>
    <row r="4" spans="1:8" x14ac:dyDescent="0.3">
      <c r="A4" s="16" t="s">
        <v>13</v>
      </c>
      <c r="B4" s="17">
        <v>6</v>
      </c>
    </row>
    <row r="5" spans="1:8" x14ac:dyDescent="0.3">
      <c r="A5" s="16" t="s">
        <v>14</v>
      </c>
      <c r="B5" s="17" t="s">
        <v>32</v>
      </c>
    </row>
    <row r="6" spans="1:8" x14ac:dyDescent="0.3">
      <c r="A6" s="16" t="s">
        <v>15</v>
      </c>
      <c r="B6" s="17" t="s">
        <v>33</v>
      </c>
    </row>
    <row r="7" spans="1:8" x14ac:dyDescent="0.3">
      <c r="A7" s="16" t="s">
        <v>17</v>
      </c>
      <c r="B7" s="18">
        <v>8485</v>
      </c>
      <c r="C7" t="s">
        <v>76</v>
      </c>
    </row>
    <row r="8" spans="1:8" ht="4.8" customHeight="1" x14ac:dyDescent="0.3"/>
    <row r="9" spans="1:8" ht="28.8" x14ac:dyDescent="0.3">
      <c r="A9" s="6" t="s">
        <v>64</v>
      </c>
      <c r="B9" s="6" t="s">
        <v>65</v>
      </c>
      <c r="C9" s="6" t="s">
        <v>66</v>
      </c>
      <c r="D9" s="6" t="s">
        <v>67</v>
      </c>
      <c r="E9" s="6" t="s">
        <v>68</v>
      </c>
      <c r="F9" s="6" t="s">
        <v>69</v>
      </c>
      <c r="G9" s="6" t="s">
        <v>70</v>
      </c>
      <c r="H9" s="6" t="s">
        <v>71</v>
      </c>
    </row>
    <row r="10" spans="1:8" x14ac:dyDescent="0.3">
      <c r="A10" s="19">
        <v>46113</v>
      </c>
      <c r="B10" s="12">
        <f t="shared" ref="B10:B39" si="0">+A10</f>
        <v>46113</v>
      </c>
      <c r="C10" s="13">
        <v>0.33333333333333331</v>
      </c>
      <c r="D10" s="13">
        <v>0.70833333333333337</v>
      </c>
      <c r="E10" s="7">
        <v>1</v>
      </c>
      <c r="F10" s="14">
        <f t="shared" ref="F10:F39" si="1">+(D10-C10)*24-E10</f>
        <v>8.0000000000000018</v>
      </c>
      <c r="G10" s="15" t="str">
        <f t="shared" ref="G10:G39" si="2">+IF(C10&gt;0.333333333333333,+(C10-0.333333333333333)*24*60,"0")</f>
        <v>0</v>
      </c>
      <c r="H10" s="3"/>
    </row>
    <row r="11" spans="1:8" x14ac:dyDescent="0.3">
      <c r="A11" s="19">
        <v>46114</v>
      </c>
      <c r="B11" s="12">
        <f t="shared" si="0"/>
        <v>46114</v>
      </c>
      <c r="C11" s="13">
        <v>0.33333333333333331</v>
      </c>
      <c r="D11" s="13">
        <v>0.70833333333333337</v>
      </c>
      <c r="E11" s="7">
        <v>1</v>
      </c>
      <c r="F11" s="14">
        <f t="shared" si="1"/>
        <v>8.0000000000000018</v>
      </c>
      <c r="G11" s="15" t="str">
        <f t="shared" si="2"/>
        <v>0</v>
      </c>
      <c r="H11" s="3"/>
    </row>
    <row r="12" spans="1:8" x14ac:dyDescent="0.3">
      <c r="A12" s="19">
        <v>46115</v>
      </c>
      <c r="B12" s="12">
        <f t="shared" si="0"/>
        <v>46115</v>
      </c>
      <c r="C12" s="13"/>
      <c r="D12" s="13"/>
      <c r="E12" s="7"/>
      <c r="F12" s="14">
        <f t="shared" si="1"/>
        <v>0</v>
      </c>
      <c r="G12" s="15" t="str">
        <f t="shared" si="2"/>
        <v>0</v>
      </c>
      <c r="H12" s="3" t="s">
        <v>72</v>
      </c>
    </row>
    <row r="13" spans="1:8" x14ac:dyDescent="0.3">
      <c r="A13" s="19">
        <v>46116</v>
      </c>
      <c r="B13" s="12">
        <f t="shared" si="0"/>
        <v>46116</v>
      </c>
      <c r="C13" s="13"/>
      <c r="D13" s="13"/>
      <c r="E13" s="7"/>
      <c r="F13" s="14">
        <f t="shared" si="1"/>
        <v>0</v>
      </c>
      <c r="G13" s="15" t="str">
        <f t="shared" si="2"/>
        <v>0</v>
      </c>
      <c r="H13" s="3"/>
    </row>
    <row r="14" spans="1:8" x14ac:dyDescent="0.3">
      <c r="A14" s="19">
        <v>46117</v>
      </c>
      <c r="B14" s="12">
        <f t="shared" si="0"/>
        <v>46117</v>
      </c>
      <c r="C14" s="13"/>
      <c r="D14" s="13"/>
      <c r="E14" s="7"/>
      <c r="F14" s="14">
        <f t="shared" si="1"/>
        <v>0</v>
      </c>
      <c r="G14" s="15" t="str">
        <f t="shared" si="2"/>
        <v>0</v>
      </c>
      <c r="H14" s="3"/>
    </row>
    <row r="15" spans="1:8" x14ac:dyDescent="0.3">
      <c r="A15" s="19">
        <v>46118</v>
      </c>
      <c r="B15" s="12">
        <f t="shared" si="0"/>
        <v>46118</v>
      </c>
      <c r="C15" s="13">
        <v>0.33333333333333331</v>
      </c>
      <c r="D15" s="13">
        <v>0.70833333333333337</v>
      </c>
      <c r="E15" s="7">
        <v>1</v>
      </c>
      <c r="F15" s="14">
        <f t="shared" si="1"/>
        <v>8.0000000000000018</v>
      </c>
      <c r="G15" s="15" t="str">
        <f t="shared" si="2"/>
        <v>0</v>
      </c>
      <c r="H15" s="3"/>
    </row>
    <row r="16" spans="1:8" x14ac:dyDescent="0.3">
      <c r="A16" s="19">
        <v>46119</v>
      </c>
      <c r="B16" s="12">
        <f t="shared" si="0"/>
        <v>46119</v>
      </c>
      <c r="C16" s="13">
        <v>0.33333333333333331</v>
      </c>
      <c r="D16" s="13">
        <v>0.70833333333333337</v>
      </c>
      <c r="E16" s="7">
        <v>1</v>
      </c>
      <c r="F16" s="14">
        <f t="shared" si="1"/>
        <v>8.0000000000000018</v>
      </c>
      <c r="G16" s="15" t="str">
        <f t="shared" si="2"/>
        <v>0</v>
      </c>
      <c r="H16" s="3"/>
    </row>
    <row r="17" spans="1:8" x14ac:dyDescent="0.3">
      <c r="A17" s="19">
        <v>46120</v>
      </c>
      <c r="B17" s="12">
        <f t="shared" si="0"/>
        <v>46120</v>
      </c>
      <c r="C17" s="13">
        <v>0.33333333333333331</v>
      </c>
      <c r="D17" s="13">
        <v>0.70833333333333337</v>
      </c>
      <c r="E17" s="7">
        <v>1</v>
      </c>
      <c r="F17" s="14">
        <f t="shared" si="1"/>
        <v>8.0000000000000018</v>
      </c>
      <c r="G17" s="15" t="str">
        <f t="shared" si="2"/>
        <v>0</v>
      </c>
      <c r="H17" s="3"/>
    </row>
    <row r="18" spans="1:8" x14ac:dyDescent="0.3">
      <c r="A18" s="19">
        <v>46121</v>
      </c>
      <c r="B18" s="12">
        <f t="shared" si="0"/>
        <v>46121</v>
      </c>
      <c r="C18" s="13">
        <v>0.34652777777777782</v>
      </c>
      <c r="D18" s="13">
        <v>0.76458333333333328</v>
      </c>
      <c r="E18" s="7">
        <v>1</v>
      </c>
      <c r="F18" s="14">
        <f t="shared" si="1"/>
        <v>9.0333333333333314</v>
      </c>
      <c r="G18" s="15">
        <f t="shared" si="2"/>
        <v>19.000000000000572</v>
      </c>
      <c r="H18" s="3"/>
    </row>
    <row r="19" spans="1:8" x14ac:dyDescent="0.3">
      <c r="A19" s="19">
        <v>46122</v>
      </c>
      <c r="B19" s="12">
        <f t="shared" si="0"/>
        <v>46122</v>
      </c>
      <c r="C19" s="13">
        <v>0.34513888888888888</v>
      </c>
      <c r="D19" s="13">
        <v>0.76875000000000004</v>
      </c>
      <c r="E19" s="7">
        <v>1</v>
      </c>
      <c r="F19" s="14">
        <f t="shared" si="1"/>
        <v>9.1666666666666679</v>
      </c>
      <c r="G19" s="15">
        <f t="shared" si="2"/>
        <v>17.000000000000497</v>
      </c>
      <c r="H19" s="3"/>
    </row>
    <row r="20" spans="1:8" x14ac:dyDescent="0.3">
      <c r="A20" s="19">
        <v>46123</v>
      </c>
      <c r="B20" s="12">
        <f t="shared" si="0"/>
        <v>46123</v>
      </c>
      <c r="C20" s="13"/>
      <c r="D20" s="13"/>
      <c r="E20" s="7"/>
      <c r="F20" s="14">
        <f t="shared" si="1"/>
        <v>0</v>
      </c>
      <c r="G20" s="15" t="str">
        <f t="shared" si="2"/>
        <v>0</v>
      </c>
      <c r="H20" s="3"/>
    </row>
    <row r="21" spans="1:8" x14ac:dyDescent="0.3">
      <c r="A21" s="19">
        <v>46124</v>
      </c>
      <c r="B21" s="12">
        <f t="shared" si="0"/>
        <v>46124</v>
      </c>
      <c r="C21" s="13"/>
      <c r="D21" s="13"/>
      <c r="E21" s="7"/>
      <c r="F21" s="14">
        <f t="shared" si="1"/>
        <v>0</v>
      </c>
      <c r="G21" s="15" t="str">
        <f t="shared" si="2"/>
        <v>0</v>
      </c>
      <c r="H21" s="3"/>
    </row>
    <row r="22" spans="1:8" x14ac:dyDescent="0.3">
      <c r="A22" s="19">
        <v>46125</v>
      </c>
      <c r="B22" s="12">
        <f t="shared" si="0"/>
        <v>46125</v>
      </c>
      <c r="C22" s="13">
        <v>0.34652777777777782</v>
      </c>
      <c r="D22" s="13">
        <v>0.78541666666666665</v>
      </c>
      <c r="E22" s="7">
        <v>1</v>
      </c>
      <c r="F22" s="14">
        <f t="shared" si="1"/>
        <v>9.5333333333333314</v>
      </c>
      <c r="G22" s="15">
        <f t="shared" si="2"/>
        <v>19.000000000000572</v>
      </c>
      <c r="H22" s="3"/>
    </row>
    <row r="23" spans="1:8" x14ac:dyDescent="0.3">
      <c r="A23" s="19">
        <v>46126</v>
      </c>
      <c r="B23" s="12">
        <f t="shared" si="0"/>
        <v>46126</v>
      </c>
      <c r="C23" s="13">
        <v>0.35069444444444442</v>
      </c>
      <c r="D23" s="13">
        <v>0.77986111111111112</v>
      </c>
      <c r="E23" s="7">
        <v>1</v>
      </c>
      <c r="F23" s="14">
        <f t="shared" si="1"/>
        <v>9.3000000000000007</v>
      </c>
      <c r="G23" s="15">
        <f t="shared" si="2"/>
        <v>25.000000000000469</v>
      </c>
      <c r="H23" s="3"/>
    </row>
    <row r="24" spans="1:8" x14ac:dyDescent="0.3">
      <c r="A24" s="19">
        <v>46127</v>
      </c>
      <c r="B24" s="12">
        <f t="shared" si="0"/>
        <v>46127</v>
      </c>
      <c r="C24" s="13">
        <v>0.35972222222222222</v>
      </c>
      <c r="D24" s="13">
        <v>0.80347222222222225</v>
      </c>
      <c r="E24" s="7">
        <v>1</v>
      </c>
      <c r="F24" s="14">
        <f t="shared" si="1"/>
        <v>9.65</v>
      </c>
      <c r="G24" s="15">
        <f t="shared" si="2"/>
        <v>38.000000000000504</v>
      </c>
      <c r="H24" s="3"/>
    </row>
    <row r="25" spans="1:8" x14ac:dyDescent="0.3">
      <c r="A25" s="19">
        <v>46128</v>
      </c>
      <c r="B25" s="12">
        <f t="shared" si="0"/>
        <v>46128</v>
      </c>
      <c r="C25" s="13">
        <v>0.33402777777777781</v>
      </c>
      <c r="D25" s="13">
        <v>0.76875000000000004</v>
      </c>
      <c r="E25" s="7">
        <v>1</v>
      </c>
      <c r="F25" s="14">
        <f t="shared" si="1"/>
        <v>9.4333333333333336</v>
      </c>
      <c r="G25" s="15">
        <f t="shared" si="2"/>
        <v>1.000000000000556</v>
      </c>
      <c r="H25" s="3"/>
    </row>
    <row r="26" spans="1:8" x14ac:dyDescent="0.3">
      <c r="A26" s="19">
        <v>46129</v>
      </c>
      <c r="B26" s="12">
        <f t="shared" si="0"/>
        <v>46129</v>
      </c>
      <c r="C26" s="13">
        <v>0.4</v>
      </c>
      <c r="D26" s="13">
        <v>0.83333333333333337</v>
      </c>
      <c r="E26" s="7">
        <v>1</v>
      </c>
      <c r="F26" s="14">
        <f t="shared" si="1"/>
        <v>9.4</v>
      </c>
      <c r="G26" s="15">
        <f t="shared" si="2"/>
        <v>96.00000000000054</v>
      </c>
      <c r="H26" s="3"/>
    </row>
    <row r="27" spans="1:8" x14ac:dyDescent="0.3">
      <c r="A27" s="19">
        <v>46130</v>
      </c>
      <c r="B27" s="12">
        <f t="shared" si="0"/>
        <v>46130</v>
      </c>
      <c r="C27" s="13">
        <v>0.38819444444444451</v>
      </c>
      <c r="D27" s="13">
        <v>0.54236111111111107</v>
      </c>
      <c r="E27" s="7">
        <v>1</v>
      </c>
      <c r="F27" s="14">
        <f t="shared" si="1"/>
        <v>2.6999999999999975</v>
      </c>
      <c r="G27" s="15">
        <f t="shared" si="2"/>
        <v>79.000000000000597</v>
      </c>
      <c r="H27" s="3"/>
    </row>
    <row r="28" spans="1:8" x14ac:dyDescent="0.3">
      <c r="A28" s="19">
        <v>46131</v>
      </c>
      <c r="B28" s="12">
        <f t="shared" si="0"/>
        <v>46131</v>
      </c>
      <c r="C28" s="13"/>
      <c r="D28" s="13"/>
      <c r="E28" s="7"/>
      <c r="F28" s="14">
        <f t="shared" si="1"/>
        <v>0</v>
      </c>
      <c r="G28" s="15" t="str">
        <f t="shared" si="2"/>
        <v>0</v>
      </c>
      <c r="H28" s="3"/>
    </row>
    <row r="29" spans="1:8" x14ac:dyDescent="0.3">
      <c r="A29" s="19">
        <v>46132</v>
      </c>
      <c r="B29" s="12">
        <f t="shared" si="0"/>
        <v>46132</v>
      </c>
      <c r="C29" s="13">
        <v>0.34305555555555561</v>
      </c>
      <c r="D29" s="13">
        <v>0.85</v>
      </c>
      <c r="E29" s="7">
        <v>1</v>
      </c>
      <c r="F29" s="14">
        <f t="shared" si="1"/>
        <v>11.166666666666666</v>
      </c>
      <c r="G29" s="15">
        <f t="shared" si="2"/>
        <v>14.00000000000059</v>
      </c>
      <c r="H29" s="3"/>
    </row>
    <row r="30" spans="1:8" x14ac:dyDescent="0.3">
      <c r="A30" s="19">
        <v>46133</v>
      </c>
      <c r="B30" s="12">
        <f t="shared" si="0"/>
        <v>46133</v>
      </c>
      <c r="C30" s="13"/>
      <c r="D30" s="13"/>
      <c r="E30" s="7"/>
      <c r="F30" s="14">
        <f t="shared" si="1"/>
        <v>0</v>
      </c>
      <c r="G30" s="15" t="str">
        <f t="shared" si="2"/>
        <v>0</v>
      </c>
      <c r="H30" s="3"/>
    </row>
    <row r="31" spans="1:8" x14ac:dyDescent="0.3">
      <c r="A31" s="19">
        <v>46134</v>
      </c>
      <c r="B31" s="12">
        <f t="shared" si="0"/>
        <v>46134</v>
      </c>
      <c r="C31" s="13"/>
      <c r="D31" s="13"/>
      <c r="E31" s="7"/>
      <c r="F31" s="14">
        <f t="shared" si="1"/>
        <v>0</v>
      </c>
      <c r="G31" s="15" t="str">
        <f t="shared" si="2"/>
        <v>0</v>
      </c>
      <c r="H31" s="3"/>
    </row>
    <row r="32" spans="1:8" x14ac:dyDescent="0.3">
      <c r="A32" s="19">
        <v>46135</v>
      </c>
      <c r="B32" s="12">
        <f t="shared" si="0"/>
        <v>46135</v>
      </c>
      <c r="C32" s="13"/>
      <c r="D32" s="13"/>
      <c r="E32" s="7"/>
      <c r="F32" s="14">
        <f t="shared" si="1"/>
        <v>0</v>
      </c>
      <c r="G32" s="15" t="str">
        <f t="shared" si="2"/>
        <v>0</v>
      </c>
      <c r="H32" s="3"/>
    </row>
    <row r="33" spans="1:8" x14ac:dyDescent="0.3">
      <c r="A33" s="19">
        <v>46136</v>
      </c>
      <c r="B33" s="12">
        <f t="shared" si="0"/>
        <v>46136</v>
      </c>
      <c r="C33" s="13"/>
      <c r="D33" s="13"/>
      <c r="E33" s="7"/>
      <c r="F33" s="14">
        <f t="shared" si="1"/>
        <v>0</v>
      </c>
      <c r="G33" s="15" t="str">
        <f t="shared" si="2"/>
        <v>0</v>
      </c>
      <c r="H33" s="3"/>
    </row>
    <row r="34" spans="1:8" x14ac:dyDescent="0.3">
      <c r="A34" s="19">
        <v>46137</v>
      </c>
      <c r="B34" s="12">
        <f t="shared" si="0"/>
        <v>46137</v>
      </c>
      <c r="C34" s="13"/>
      <c r="D34" s="13"/>
      <c r="E34" s="7"/>
      <c r="F34" s="14">
        <f t="shared" si="1"/>
        <v>0</v>
      </c>
      <c r="G34" s="15" t="str">
        <f t="shared" si="2"/>
        <v>0</v>
      </c>
      <c r="H34" s="3"/>
    </row>
    <row r="35" spans="1:8" x14ac:dyDescent="0.3">
      <c r="A35" s="19">
        <v>46138</v>
      </c>
      <c r="B35" s="12">
        <f t="shared" si="0"/>
        <v>46138</v>
      </c>
      <c r="C35" s="13"/>
      <c r="D35" s="13"/>
      <c r="E35" s="7"/>
      <c r="F35" s="14">
        <f t="shared" si="1"/>
        <v>0</v>
      </c>
      <c r="G35" s="15" t="str">
        <f t="shared" si="2"/>
        <v>0</v>
      </c>
      <c r="H35" s="3"/>
    </row>
    <row r="36" spans="1:8" x14ac:dyDescent="0.3">
      <c r="A36" s="19">
        <v>46139</v>
      </c>
      <c r="B36" s="12">
        <f t="shared" si="0"/>
        <v>46139</v>
      </c>
      <c r="C36" s="13"/>
      <c r="D36" s="13"/>
      <c r="E36" s="7"/>
      <c r="F36" s="14">
        <f t="shared" si="1"/>
        <v>0</v>
      </c>
      <c r="G36" s="15" t="str">
        <f t="shared" si="2"/>
        <v>0</v>
      </c>
      <c r="H36" s="3"/>
    </row>
    <row r="37" spans="1:8" x14ac:dyDescent="0.3">
      <c r="A37" s="19">
        <v>46140</v>
      </c>
      <c r="B37" s="12">
        <f t="shared" si="0"/>
        <v>46140</v>
      </c>
      <c r="C37" s="13"/>
      <c r="D37" s="13"/>
      <c r="E37" s="7"/>
      <c r="F37" s="14">
        <f t="shared" si="1"/>
        <v>0</v>
      </c>
      <c r="G37" s="15" t="str">
        <f t="shared" si="2"/>
        <v>0</v>
      </c>
      <c r="H37" s="3"/>
    </row>
    <row r="38" spans="1:8" x14ac:dyDescent="0.3">
      <c r="A38" s="19">
        <v>46141</v>
      </c>
      <c r="B38" s="12">
        <f t="shared" si="0"/>
        <v>46141</v>
      </c>
      <c r="C38" s="13"/>
      <c r="D38" s="13"/>
      <c r="E38" s="7"/>
      <c r="F38" s="14">
        <f t="shared" si="1"/>
        <v>0</v>
      </c>
      <c r="G38" s="15" t="str">
        <f t="shared" si="2"/>
        <v>0</v>
      </c>
      <c r="H38" s="3"/>
    </row>
    <row r="39" spans="1:8" x14ac:dyDescent="0.3">
      <c r="A39" s="19">
        <v>46142</v>
      </c>
      <c r="B39" s="12">
        <f t="shared" si="0"/>
        <v>46142</v>
      </c>
      <c r="C39" s="13"/>
      <c r="D39" s="13"/>
      <c r="E39" s="7"/>
      <c r="F39" s="14">
        <f t="shared" si="1"/>
        <v>0</v>
      </c>
      <c r="G39" s="15" t="str">
        <f t="shared" si="2"/>
        <v>0</v>
      </c>
      <c r="H39" s="3"/>
    </row>
    <row r="40" spans="1:8" x14ac:dyDescent="0.3">
      <c r="A40" s="44" t="s">
        <v>73</v>
      </c>
      <c r="B40" s="23"/>
      <c r="C40" s="45">
        <f>+COUNT(C10:C39)</f>
        <v>14</v>
      </c>
      <c r="D40" s="23"/>
      <c r="E40" s="23"/>
      <c r="F40" s="23"/>
      <c r="G40" s="23"/>
    </row>
    <row r="41" spans="1:8" x14ac:dyDescent="0.3">
      <c r="A41" s="44" t="s">
        <v>74</v>
      </c>
      <c r="B41" s="23"/>
      <c r="C41" s="46">
        <f>SUM(F10:F39)</f>
        <v>119.38333333333335</v>
      </c>
      <c r="D41" s="23"/>
      <c r="E41" s="23"/>
      <c r="F41" s="23"/>
      <c r="G41" s="23"/>
    </row>
    <row r="42" spans="1:8" x14ac:dyDescent="0.3">
      <c r="A42" s="44" t="s">
        <v>75</v>
      </c>
      <c r="B42" s="23"/>
      <c r="C42" s="45">
        <f>SUM(G10:G39)</f>
        <v>308.00000000000489</v>
      </c>
      <c r="D42" s="23"/>
      <c r="E42" s="23"/>
      <c r="F42" s="23"/>
      <c r="G42" s="23"/>
    </row>
  </sheetData>
  <mergeCells count="7">
    <mergeCell ref="A41:B41"/>
    <mergeCell ref="C42:G42"/>
    <mergeCell ref="A2:H2"/>
    <mergeCell ref="A42:B42"/>
    <mergeCell ref="C41:G41"/>
    <mergeCell ref="A40:B40"/>
    <mergeCell ref="C40:G4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H42"/>
  <sheetViews>
    <sheetView topLeftCell="A22" workbookViewId="0">
      <selection activeCell="F29" sqref="F29"/>
    </sheetView>
  </sheetViews>
  <sheetFormatPr defaultRowHeight="14.4" x14ac:dyDescent="0.3"/>
  <cols>
    <col min="1" max="1" width="15.88671875" customWidth="1"/>
    <col min="2" max="2" width="14.33203125" customWidth="1"/>
    <col min="3" max="3" width="14.109375" customWidth="1"/>
    <col min="4" max="4" width="12.33203125" customWidth="1"/>
    <col min="5" max="5" width="13" customWidth="1"/>
    <col min="6" max="6" width="14.88671875" customWidth="1"/>
    <col min="7" max="7" width="17.44140625" customWidth="1"/>
    <col min="8" max="8" width="19.77734375" bestFit="1" customWidth="1"/>
  </cols>
  <sheetData>
    <row r="2" spans="1:8" x14ac:dyDescent="0.3">
      <c r="A2" s="22" t="s">
        <v>63</v>
      </c>
      <c r="B2" s="23"/>
      <c r="C2" s="23"/>
      <c r="D2" s="23"/>
      <c r="E2" s="23"/>
      <c r="F2" s="23"/>
      <c r="G2" s="23"/>
      <c r="H2" s="23"/>
    </row>
    <row r="3" spans="1:8" ht="4.8" customHeight="1" x14ac:dyDescent="0.3"/>
    <row r="4" spans="1:8" x14ac:dyDescent="0.3">
      <c r="A4" s="16" t="s">
        <v>13</v>
      </c>
      <c r="B4" s="17">
        <v>7</v>
      </c>
    </row>
    <row r="5" spans="1:8" x14ac:dyDescent="0.3">
      <c r="A5" s="16" t="s">
        <v>14</v>
      </c>
      <c r="B5" s="17" t="s">
        <v>34</v>
      </c>
    </row>
    <row r="6" spans="1:8" x14ac:dyDescent="0.3">
      <c r="A6" s="16" t="s">
        <v>15</v>
      </c>
      <c r="B6" s="17" t="s">
        <v>35</v>
      </c>
    </row>
    <row r="7" spans="1:8" x14ac:dyDescent="0.3">
      <c r="A7" s="16" t="s">
        <v>17</v>
      </c>
      <c r="B7" s="18">
        <v>8485</v>
      </c>
      <c r="C7" t="s">
        <v>76</v>
      </c>
    </row>
    <row r="8" spans="1:8" ht="4.8" customHeight="1" x14ac:dyDescent="0.3"/>
    <row r="9" spans="1:8" ht="28.8" x14ac:dyDescent="0.3">
      <c r="A9" s="6" t="s">
        <v>64</v>
      </c>
      <c r="B9" s="6" t="s">
        <v>65</v>
      </c>
      <c r="C9" s="6" t="s">
        <v>66</v>
      </c>
      <c r="D9" s="6" t="s">
        <v>67</v>
      </c>
      <c r="E9" s="6" t="s">
        <v>68</v>
      </c>
      <c r="F9" s="6" t="s">
        <v>69</v>
      </c>
      <c r="G9" s="6" t="s">
        <v>70</v>
      </c>
      <c r="H9" s="6" t="s">
        <v>71</v>
      </c>
    </row>
    <row r="10" spans="1:8" x14ac:dyDescent="0.3">
      <c r="A10" s="19">
        <v>46113</v>
      </c>
      <c r="B10" s="12">
        <f t="shared" ref="B10:B39" si="0">+A10</f>
        <v>46113</v>
      </c>
      <c r="C10" s="13"/>
      <c r="D10" s="13"/>
      <c r="E10" s="7"/>
      <c r="F10" s="14">
        <f t="shared" ref="F10:F39" si="1">+(D10-C10)*24-E10</f>
        <v>0</v>
      </c>
      <c r="G10" s="15" t="str">
        <f t="shared" ref="G10:G39" si="2">+IF(C10&gt;0.333333333333333,+(C10-0.333333333333333)*24*60,"0")</f>
        <v>0</v>
      </c>
      <c r="H10" s="3"/>
    </row>
    <row r="11" spans="1:8" x14ac:dyDescent="0.3">
      <c r="A11" s="19">
        <v>46114</v>
      </c>
      <c r="B11" s="12">
        <f t="shared" si="0"/>
        <v>46114</v>
      </c>
      <c r="C11" s="13"/>
      <c r="D11" s="13"/>
      <c r="E11" s="7"/>
      <c r="F11" s="14">
        <f t="shared" si="1"/>
        <v>0</v>
      </c>
      <c r="G11" s="15" t="str">
        <f t="shared" si="2"/>
        <v>0</v>
      </c>
      <c r="H11" s="3"/>
    </row>
    <row r="12" spans="1:8" x14ac:dyDescent="0.3">
      <c r="A12" s="19">
        <v>46115</v>
      </c>
      <c r="B12" s="12">
        <f t="shared" si="0"/>
        <v>46115</v>
      </c>
      <c r="C12" s="13"/>
      <c r="D12" s="13"/>
      <c r="E12" s="7"/>
      <c r="F12" s="14">
        <f t="shared" si="1"/>
        <v>0</v>
      </c>
      <c r="G12" s="15" t="str">
        <f t="shared" si="2"/>
        <v>0</v>
      </c>
      <c r="H12" s="3" t="s">
        <v>72</v>
      </c>
    </row>
    <row r="13" spans="1:8" x14ac:dyDescent="0.3">
      <c r="A13" s="19">
        <v>46116</v>
      </c>
      <c r="B13" s="12">
        <f t="shared" si="0"/>
        <v>46116</v>
      </c>
      <c r="C13" s="13"/>
      <c r="D13" s="13"/>
      <c r="E13" s="7"/>
      <c r="F13" s="14">
        <f t="shared" si="1"/>
        <v>0</v>
      </c>
      <c r="G13" s="15" t="str">
        <f t="shared" si="2"/>
        <v>0</v>
      </c>
      <c r="H13" s="3"/>
    </row>
    <row r="14" spans="1:8" x14ac:dyDescent="0.3">
      <c r="A14" s="19">
        <v>46117</v>
      </c>
      <c r="B14" s="12">
        <f t="shared" si="0"/>
        <v>46117</v>
      </c>
      <c r="C14" s="13"/>
      <c r="D14" s="13"/>
      <c r="E14" s="7"/>
      <c r="F14" s="14">
        <f t="shared" si="1"/>
        <v>0</v>
      </c>
      <c r="G14" s="15" t="str">
        <f t="shared" si="2"/>
        <v>0</v>
      </c>
      <c r="H14" s="3"/>
    </row>
    <row r="15" spans="1:8" x14ac:dyDescent="0.3">
      <c r="A15" s="19">
        <v>46118</v>
      </c>
      <c r="B15" s="12">
        <f t="shared" si="0"/>
        <v>46118</v>
      </c>
      <c r="C15" s="13"/>
      <c r="D15" s="13"/>
      <c r="E15" s="7"/>
      <c r="F15" s="14">
        <f t="shared" si="1"/>
        <v>0</v>
      </c>
      <c r="G15" s="15" t="str">
        <f t="shared" si="2"/>
        <v>0</v>
      </c>
      <c r="H15" s="3"/>
    </row>
    <row r="16" spans="1:8" x14ac:dyDescent="0.3">
      <c r="A16" s="19">
        <v>46119</v>
      </c>
      <c r="B16" s="12">
        <f t="shared" si="0"/>
        <v>46119</v>
      </c>
      <c r="C16" s="13">
        <v>0.33333333333333331</v>
      </c>
      <c r="D16" s="13">
        <v>0.70833333333333337</v>
      </c>
      <c r="E16" s="7">
        <v>1</v>
      </c>
      <c r="F16" s="14">
        <f t="shared" si="1"/>
        <v>8.0000000000000018</v>
      </c>
      <c r="G16" s="15" t="str">
        <f t="shared" si="2"/>
        <v>0</v>
      </c>
      <c r="H16" s="3"/>
    </row>
    <row r="17" spans="1:8" x14ac:dyDescent="0.3">
      <c r="A17" s="19">
        <v>46120</v>
      </c>
      <c r="B17" s="12">
        <f t="shared" si="0"/>
        <v>46120</v>
      </c>
      <c r="C17" s="13">
        <v>0.33333333333333331</v>
      </c>
      <c r="D17" s="13">
        <v>0.70833333333333337</v>
      </c>
      <c r="E17" s="7">
        <v>1</v>
      </c>
      <c r="F17" s="14">
        <f t="shared" si="1"/>
        <v>8.0000000000000018</v>
      </c>
      <c r="G17" s="15" t="str">
        <f t="shared" si="2"/>
        <v>0</v>
      </c>
      <c r="H17" s="3"/>
    </row>
    <row r="18" spans="1:8" x14ac:dyDescent="0.3">
      <c r="A18" s="19">
        <v>46121</v>
      </c>
      <c r="B18" s="12">
        <f t="shared" si="0"/>
        <v>46121</v>
      </c>
      <c r="C18" s="13">
        <v>0.33333333333333331</v>
      </c>
      <c r="D18" s="13">
        <v>0.70833333333333337</v>
      </c>
      <c r="E18" s="7">
        <v>1</v>
      </c>
      <c r="F18" s="14">
        <f t="shared" si="1"/>
        <v>8.0000000000000018</v>
      </c>
      <c r="G18" s="15" t="str">
        <f t="shared" si="2"/>
        <v>0</v>
      </c>
      <c r="H18" s="3"/>
    </row>
    <row r="19" spans="1:8" x14ac:dyDescent="0.3">
      <c r="A19" s="19">
        <v>46122</v>
      </c>
      <c r="B19" s="12">
        <f t="shared" si="0"/>
        <v>46122</v>
      </c>
      <c r="C19" s="13">
        <v>0.33333333333333331</v>
      </c>
      <c r="D19" s="13">
        <v>0.71180555555555558</v>
      </c>
      <c r="E19" s="7">
        <v>1</v>
      </c>
      <c r="F19" s="14">
        <f t="shared" si="1"/>
        <v>8.0833333333333339</v>
      </c>
      <c r="G19" s="15" t="str">
        <f t="shared" si="2"/>
        <v>0</v>
      </c>
      <c r="H19" s="3"/>
    </row>
    <row r="20" spans="1:8" x14ac:dyDescent="0.3">
      <c r="A20" s="19">
        <v>46123</v>
      </c>
      <c r="B20" s="12">
        <f t="shared" si="0"/>
        <v>46123</v>
      </c>
      <c r="C20" s="13"/>
      <c r="D20" s="13"/>
      <c r="E20" s="7"/>
      <c r="F20" s="14">
        <f t="shared" si="1"/>
        <v>0</v>
      </c>
      <c r="G20" s="15" t="str">
        <f t="shared" si="2"/>
        <v>0</v>
      </c>
      <c r="H20" s="3"/>
    </row>
    <row r="21" spans="1:8" x14ac:dyDescent="0.3">
      <c r="A21" s="19">
        <v>46124</v>
      </c>
      <c r="B21" s="12">
        <f t="shared" si="0"/>
        <v>46124</v>
      </c>
      <c r="C21" s="13"/>
      <c r="D21" s="13"/>
      <c r="E21" s="7"/>
      <c r="F21" s="14">
        <f t="shared" si="1"/>
        <v>0</v>
      </c>
      <c r="G21" s="15" t="str">
        <f t="shared" si="2"/>
        <v>0</v>
      </c>
      <c r="H21" s="3"/>
    </row>
    <row r="22" spans="1:8" x14ac:dyDescent="0.3">
      <c r="A22" s="19">
        <v>46125</v>
      </c>
      <c r="B22" s="12">
        <f t="shared" si="0"/>
        <v>46125</v>
      </c>
      <c r="C22" s="13">
        <v>0.46805555555555561</v>
      </c>
      <c r="D22" s="13">
        <v>0.7319444444444444</v>
      </c>
      <c r="E22" s="7">
        <v>1</v>
      </c>
      <c r="F22" s="14">
        <f t="shared" si="1"/>
        <v>5.3333333333333304</v>
      </c>
      <c r="G22" s="15">
        <f t="shared" si="2"/>
        <v>194.0000000000006</v>
      </c>
      <c r="H22" s="3"/>
    </row>
    <row r="23" spans="1:8" x14ac:dyDescent="0.3">
      <c r="A23" s="19">
        <v>46126</v>
      </c>
      <c r="B23" s="12">
        <f t="shared" si="0"/>
        <v>46126</v>
      </c>
      <c r="C23" s="13">
        <v>0.34930555555555548</v>
      </c>
      <c r="D23" s="13">
        <v>0.72847222222222219</v>
      </c>
      <c r="E23" s="7">
        <v>1</v>
      </c>
      <c r="F23" s="14">
        <f t="shared" si="1"/>
        <v>8.1000000000000014</v>
      </c>
      <c r="G23" s="15">
        <f t="shared" si="2"/>
        <v>23.000000000000398</v>
      </c>
      <c r="H23" s="3"/>
    </row>
    <row r="24" spans="1:8" x14ac:dyDescent="0.3">
      <c r="A24" s="19">
        <v>46127</v>
      </c>
      <c r="B24" s="12">
        <f t="shared" si="0"/>
        <v>46127</v>
      </c>
      <c r="C24" s="13">
        <v>0.3527777777777778</v>
      </c>
      <c r="D24" s="13">
        <v>0.74097222222222225</v>
      </c>
      <c r="E24" s="7">
        <v>1</v>
      </c>
      <c r="F24" s="14">
        <f t="shared" si="1"/>
        <v>8.3166666666666664</v>
      </c>
      <c r="G24" s="15">
        <f t="shared" si="2"/>
        <v>28.00000000000054</v>
      </c>
      <c r="H24" s="3"/>
    </row>
    <row r="25" spans="1:8" x14ac:dyDescent="0.3">
      <c r="A25" s="19">
        <v>46128</v>
      </c>
      <c r="B25" s="12">
        <f t="shared" si="0"/>
        <v>46128</v>
      </c>
      <c r="C25" s="13">
        <v>0.35416666666666669</v>
      </c>
      <c r="D25" s="13">
        <v>0.79097222222222219</v>
      </c>
      <c r="E25" s="7">
        <v>1</v>
      </c>
      <c r="F25" s="14">
        <f t="shared" si="1"/>
        <v>9.4833333333333325</v>
      </c>
      <c r="G25" s="15">
        <f t="shared" si="2"/>
        <v>30.000000000000533</v>
      </c>
      <c r="H25" s="3"/>
    </row>
    <row r="26" spans="1:8" x14ac:dyDescent="0.3">
      <c r="A26" s="19">
        <v>46129</v>
      </c>
      <c r="B26" s="12">
        <f t="shared" si="0"/>
        <v>46129</v>
      </c>
      <c r="C26" s="13">
        <v>0.35069444444444442</v>
      </c>
      <c r="D26" s="13">
        <v>0.81180555555555556</v>
      </c>
      <c r="E26" s="7">
        <v>1</v>
      </c>
      <c r="F26" s="14">
        <f t="shared" si="1"/>
        <v>10.066666666666666</v>
      </c>
      <c r="G26" s="15">
        <f t="shared" si="2"/>
        <v>25.000000000000469</v>
      </c>
      <c r="H26" s="3"/>
    </row>
    <row r="27" spans="1:8" x14ac:dyDescent="0.3">
      <c r="A27" s="19">
        <v>46130</v>
      </c>
      <c r="B27" s="12">
        <f t="shared" si="0"/>
        <v>46130</v>
      </c>
      <c r="C27" s="13"/>
      <c r="D27" s="13"/>
      <c r="E27" s="7"/>
      <c r="F27" s="14">
        <f t="shared" si="1"/>
        <v>0</v>
      </c>
      <c r="G27" s="15" t="str">
        <f t="shared" si="2"/>
        <v>0</v>
      </c>
      <c r="H27" s="3"/>
    </row>
    <row r="28" spans="1:8" x14ac:dyDescent="0.3">
      <c r="A28" s="19">
        <v>46131</v>
      </c>
      <c r="B28" s="12">
        <f t="shared" si="0"/>
        <v>46131</v>
      </c>
      <c r="C28" s="13"/>
      <c r="D28" s="13"/>
      <c r="E28" s="7"/>
      <c r="F28" s="14">
        <f t="shared" si="1"/>
        <v>0</v>
      </c>
      <c r="G28" s="15" t="str">
        <f t="shared" si="2"/>
        <v>0</v>
      </c>
      <c r="H28" s="3"/>
    </row>
    <row r="29" spans="1:8" x14ac:dyDescent="0.3">
      <c r="A29" s="19">
        <v>46132</v>
      </c>
      <c r="B29" s="12">
        <f t="shared" si="0"/>
        <v>46132</v>
      </c>
      <c r="C29" s="13">
        <v>0.34583333333333333</v>
      </c>
      <c r="D29" s="13">
        <v>0.70833333333333337</v>
      </c>
      <c r="E29" s="7">
        <v>1</v>
      </c>
      <c r="F29" s="14">
        <f t="shared" si="1"/>
        <v>7.7000000000000011</v>
      </c>
      <c r="G29" s="15">
        <f t="shared" si="2"/>
        <v>18.000000000000497</v>
      </c>
      <c r="H29" s="3"/>
    </row>
    <row r="30" spans="1:8" x14ac:dyDescent="0.3">
      <c r="A30" s="19">
        <v>46133</v>
      </c>
      <c r="B30" s="12">
        <f t="shared" si="0"/>
        <v>46133</v>
      </c>
      <c r="C30" s="13"/>
      <c r="D30" s="13"/>
      <c r="E30" s="7"/>
      <c r="F30" s="14">
        <f t="shared" si="1"/>
        <v>0</v>
      </c>
      <c r="G30" s="15" t="str">
        <f t="shared" si="2"/>
        <v>0</v>
      </c>
      <c r="H30" s="3"/>
    </row>
    <row r="31" spans="1:8" x14ac:dyDescent="0.3">
      <c r="A31" s="19">
        <v>46134</v>
      </c>
      <c r="B31" s="12">
        <f t="shared" si="0"/>
        <v>46134</v>
      </c>
      <c r="C31" s="13"/>
      <c r="D31" s="13"/>
      <c r="E31" s="7"/>
      <c r="F31" s="14">
        <f t="shared" si="1"/>
        <v>0</v>
      </c>
      <c r="G31" s="15" t="str">
        <f t="shared" si="2"/>
        <v>0</v>
      </c>
      <c r="H31" s="3"/>
    </row>
    <row r="32" spans="1:8" x14ac:dyDescent="0.3">
      <c r="A32" s="19">
        <v>46135</v>
      </c>
      <c r="B32" s="12">
        <f t="shared" si="0"/>
        <v>46135</v>
      </c>
      <c r="C32" s="13"/>
      <c r="D32" s="13"/>
      <c r="E32" s="7"/>
      <c r="F32" s="14">
        <f t="shared" si="1"/>
        <v>0</v>
      </c>
      <c r="G32" s="15" t="str">
        <f t="shared" si="2"/>
        <v>0</v>
      </c>
      <c r="H32" s="3"/>
    </row>
    <row r="33" spans="1:8" x14ac:dyDescent="0.3">
      <c r="A33" s="19">
        <v>46136</v>
      </c>
      <c r="B33" s="12">
        <f t="shared" si="0"/>
        <v>46136</v>
      </c>
      <c r="C33" s="13"/>
      <c r="D33" s="13"/>
      <c r="E33" s="7"/>
      <c r="F33" s="14">
        <f t="shared" si="1"/>
        <v>0</v>
      </c>
      <c r="G33" s="15" t="str">
        <f t="shared" si="2"/>
        <v>0</v>
      </c>
      <c r="H33" s="3"/>
    </row>
    <row r="34" spans="1:8" x14ac:dyDescent="0.3">
      <c r="A34" s="19">
        <v>46137</v>
      </c>
      <c r="B34" s="12">
        <f t="shared" si="0"/>
        <v>46137</v>
      </c>
      <c r="C34" s="13"/>
      <c r="D34" s="13"/>
      <c r="E34" s="7"/>
      <c r="F34" s="14">
        <f t="shared" si="1"/>
        <v>0</v>
      </c>
      <c r="G34" s="15" t="str">
        <f t="shared" si="2"/>
        <v>0</v>
      </c>
      <c r="H34" s="3"/>
    </row>
    <row r="35" spans="1:8" x14ac:dyDescent="0.3">
      <c r="A35" s="19">
        <v>46138</v>
      </c>
      <c r="B35" s="12">
        <f t="shared" si="0"/>
        <v>46138</v>
      </c>
      <c r="C35" s="13"/>
      <c r="D35" s="13"/>
      <c r="E35" s="7"/>
      <c r="F35" s="14">
        <f t="shared" si="1"/>
        <v>0</v>
      </c>
      <c r="G35" s="15" t="str">
        <f t="shared" si="2"/>
        <v>0</v>
      </c>
      <c r="H35" s="3"/>
    </row>
    <row r="36" spans="1:8" x14ac:dyDescent="0.3">
      <c r="A36" s="19">
        <v>46139</v>
      </c>
      <c r="B36" s="12">
        <f t="shared" si="0"/>
        <v>46139</v>
      </c>
      <c r="C36" s="13"/>
      <c r="D36" s="13"/>
      <c r="E36" s="7"/>
      <c r="F36" s="14">
        <f t="shared" si="1"/>
        <v>0</v>
      </c>
      <c r="G36" s="15" t="str">
        <f t="shared" si="2"/>
        <v>0</v>
      </c>
      <c r="H36" s="3"/>
    </row>
    <row r="37" spans="1:8" x14ac:dyDescent="0.3">
      <c r="A37" s="19">
        <v>46140</v>
      </c>
      <c r="B37" s="12">
        <f t="shared" si="0"/>
        <v>46140</v>
      </c>
      <c r="C37" s="13"/>
      <c r="D37" s="13"/>
      <c r="E37" s="7"/>
      <c r="F37" s="14">
        <f t="shared" si="1"/>
        <v>0</v>
      </c>
      <c r="G37" s="15" t="str">
        <f t="shared" si="2"/>
        <v>0</v>
      </c>
      <c r="H37" s="3"/>
    </row>
    <row r="38" spans="1:8" x14ac:dyDescent="0.3">
      <c r="A38" s="19">
        <v>46141</v>
      </c>
      <c r="B38" s="12">
        <f t="shared" si="0"/>
        <v>46141</v>
      </c>
      <c r="C38" s="13"/>
      <c r="D38" s="13"/>
      <c r="E38" s="7"/>
      <c r="F38" s="14">
        <f t="shared" si="1"/>
        <v>0</v>
      </c>
      <c r="G38" s="15" t="str">
        <f t="shared" si="2"/>
        <v>0</v>
      </c>
      <c r="H38" s="3"/>
    </row>
    <row r="39" spans="1:8" x14ac:dyDescent="0.3">
      <c r="A39" s="19">
        <v>46142</v>
      </c>
      <c r="B39" s="12">
        <f t="shared" si="0"/>
        <v>46142</v>
      </c>
      <c r="C39" s="13"/>
      <c r="D39" s="13"/>
      <c r="E39" s="7"/>
      <c r="F39" s="14">
        <f t="shared" si="1"/>
        <v>0</v>
      </c>
      <c r="G39" s="15" t="str">
        <f t="shared" si="2"/>
        <v>0</v>
      </c>
      <c r="H39" s="3"/>
    </row>
    <row r="40" spans="1:8" x14ac:dyDescent="0.3">
      <c r="A40" s="44" t="s">
        <v>73</v>
      </c>
      <c r="B40" s="23"/>
      <c r="C40" s="45">
        <f>+COUNT(C10:C39)</f>
        <v>10</v>
      </c>
      <c r="D40" s="23"/>
      <c r="E40" s="23"/>
      <c r="F40" s="23"/>
      <c r="G40" s="23"/>
    </row>
    <row r="41" spans="1:8" x14ac:dyDescent="0.3">
      <c r="A41" s="44" t="s">
        <v>74</v>
      </c>
      <c r="B41" s="23"/>
      <c r="C41" s="46">
        <f>SUM(F10:F39)</f>
        <v>81.083333333333343</v>
      </c>
      <c r="D41" s="23"/>
      <c r="E41" s="23"/>
      <c r="F41" s="23"/>
      <c r="G41" s="23"/>
    </row>
    <row r="42" spans="1:8" x14ac:dyDescent="0.3">
      <c r="A42" s="44" t="s">
        <v>75</v>
      </c>
      <c r="B42" s="23"/>
      <c r="C42" s="45">
        <f>SUM(G10:G39)</f>
        <v>318.00000000000301</v>
      </c>
      <c r="D42" s="23"/>
      <c r="E42" s="23"/>
      <c r="F42" s="23"/>
      <c r="G42" s="23"/>
    </row>
  </sheetData>
  <mergeCells count="7">
    <mergeCell ref="A41:B41"/>
    <mergeCell ref="C42:G42"/>
    <mergeCell ref="A2:H2"/>
    <mergeCell ref="A42:B42"/>
    <mergeCell ref="C41:G41"/>
    <mergeCell ref="A40:B40"/>
    <mergeCell ref="C40:G4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H42"/>
  <sheetViews>
    <sheetView topLeftCell="A4" workbookViewId="0">
      <selection activeCell="F13" sqref="F13"/>
    </sheetView>
  </sheetViews>
  <sheetFormatPr defaultRowHeight="14.4" x14ac:dyDescent="0.3"/>
  <cols>
    <col min="1" max="1" width="15.88671875" customWidth="1"/>
    <col min="2" max="2" width="14.33203125" customWidth="1"/>
    <col min="3" max="3" width="14.109375" customWidth="1"/>
    <col min="4" max="4" width="12.33203125" customWidth="1"/>
    <col min="5" max="5" width="13" customWidth="1"/>
    <col min="6" max="6" width="14.88671875" customWidth="1"/>
    <col min="7" max="7" width="17.44140625" customWidth="1"/>
    <col min="8" max="8" width="30.44140625" customWidth="1"/>
  </cols>
  <sheetData>
    <row r="2" spans="1:8" x14ac:dyDescent="0.3">
      <c r="A2" s="22" t="s">
        <v>63</v>
      </c>
      <c r="B2" s="23"/>
      <c r="C2" s="23"/>
      <c r="D2" s="23"/>
      <c r="E2" s="23"/>
      <c r="F2" s="23"/>
      <c r="G2" s="23"/>
      <c r="H2" s="23"/>
    </row>
    <row r="3" spans="1:8" ht="4.8" customHeight="1" x14ac:dyDescent="0.3"/>
    <row r="4" spans="1:8" x14ac:dyDescent="0.3">
      <c r="A4" s="16" t="s">
        <v>13</v>
      </c>
      <c r="B4" s="17">
        <v>8</v>
      </c>
    </row>
    <row r="5" spans="1:8" x14ac:dyDescent="0.3">
      <c r="A5" s="16" t="s">
        <v>14</v>
      </c>
      <c r="B5" s="17" t="s">
        <v>36</v>
      </c>
    </row>
    <row r="6" spans="1:8" x14ac:dyDescent="0.3">
      <c r="A6" s="16" t="s">
        <v>15</v>
      </c>
      <c r="B6" s="17" t="s">
        <v>37</v>
      </c>
    </row>
    <row r="7" spans="1:8" x14ac:dyDescent="0.3">
      <c r="A7" s="16" t="s">
        <v>17</v>
      </c>
      <c r="B7" s="18">
        <v>9165</v>
      </c>
      <c r="C7" t="s">
        <v>76</v>
      </c>
    </row>
    <row r="8" spans="1:8" ht="4.8" customHeight="1" x14ac:dyDescent="0.3"/>
    <row r="9" spans="1:8" ht="28.8" x14ac:dyDescent="0.3">
      <c r="A9" s="6" t="s">
        <v>64</v>
      </c>
      <c r="B9" s="6" t="s">
        <v>65</v>
      </c>
      <c r="C9" s="6" t="s">
        <v>66</v>
      </c>
      <c r="D9" s="6" t="s">
        <v>67</v>
      </c>
      <c r="E9" s="6" t="s">
        <v>68</v>
      </c>
      <c r="F9" s="6" t="s">
        <v>69</v>
      </c>
      <c r="G9" s="6" t="s">
        <v>70</v>
      </c>
      <c r="H9" s="6" t="s">
        <v>71</v>
      </c>
    </row>
    <row r="10" spans="1:8" x14ac:dyDescent="0.3">
      <c r="A10" s="19">
        <v>46113</v>
      </c>
      <c r="B10" s="12">
        <f t="shared" ref="B10:B39" si="0">+A10</f>
        <v>46113</v>
      </c>
      <c r="C10" s="13">
        <v>0.33333333333333331</v>
      </c>
      <c r="D10" s="13">
        <v>0.70833333333333337</v>
      </c>
      <c r="E10" s="7">
        <v>1</v>
      </c>
      <c r="F10" s="14">
        <f t="shared" ref="F10:F39" si="1">+(D10-C10)*24-E10</f>
        <v>8.0000000000000018</v>
      </c>
      <c r="G10" s="15" t="str">
        <f t="shared" ref="G10:G39" si="2">+IF(C10&gt;0.333333333333333,+(C10-0.333333333333333)*24*60,"0")</f>
        <v>0</v>
      </c>
      <c r="H10" s="3"/>
    </row>
    <row r="11" spans="1:8" x14ac:dyDescent="0.3">
      <c r="A11" s="19">
        <v>46114</v>
      </c>
      <c r="B11" s="12">
        <f t="shared" si="0"/>
        <v>46114</v>
      </c>
      <c r="C11" s="13">
        <v>0.33333333333333331</v>
      </c>
      <c r="D11" s="13">
        <v>0.76527777777777772</v>
      </c>
      <c r="E11" s="7">
        <v>1</v>
      </c>
      <c r="F11" s="14">
        <f t="shared" si="1"/>
        <v>9.3666666666666654</v>
      </c>
      <c r="G11" s="15" t="str">
        <f t="shared" si="2"/>
        <v>0</v>
      </c>
      <c r="H11" s="3"/>
    </row>
    <row r="12" spans="1:8" x14ac:dyDescent="0.3">
      <c r="A12" s="19">
        <v>46115</v>
      </c>
      <c r="B12" s="12">
        <f t="shared" si="0"/>
        <v>46115</v>
      </c>
      <c r="C12" s="13"/>
      <c r="D12" s="13"/>
      <c r="E12" s="7"/>
      <c r="F12" s="14">
        <f t="shared" si="1"/>
        <v>0</v>
      </c>
      <c r="G12" s="15" t="str">
        <f t="shared" si="2"/>
        <v>0</v>
      </c>
      <c r="H12" s="3" t="s">
        <v>72</v>
      </c>
    </row>
    <row r="13" spans="1:8" x14ac:dyDescent="0.3">
      <c r="A13" s="19">
        <v>46116</v>
      </c>
      <c r="B13" s="12">
        <f t="shared" si="0"/>
        <v>46116</v>
      </c>
      <c r="C13" s="13"/>
      <c r="D13" s="13"/>
      <c r="E13" s="7"/>
      <c r="F13" s="14">
        <f t="shared" si="1"/>
        <v>0</v>
      </c>
      <c r="G13" s="15" t="str">
        <f t="shared" si="2"/>
        <v>0</v>
      </c>
      <c r="H13" s="3"/>
    </row>
    <row r="14" spans="1:8" x14ac:dyDescent="0.3">
      <c r="A14" s="19">
        <v>46117</v>
      </c>
      <c r="B14" s="12">
        <f t="shared" si="0"/>
        <v>46117</v>
      </c>
      <c r="C14" s="13"/>
      <c r="D14" s="13"/>
      <c r="E14" s="7"/>
      <c r="F14" s="14">
        <f t="shared" si="1"/>
        <v>0</v>
      </c>
      <c r="G14" s="15" t="str">
        <f t="shared" si="2"/>
        <v>0</v>
      </c>
      <c r="H14" s="3"/>
    </row>
    <row r="15" spans="1:8" x14ac:dyDescent="0.3">
      <c r="A15" s="19">
        <v>46118</v>
      </c>
      <c r="B15" s="12">
        <f t="shared" si="0"/>
        <v>46118</v>
      </c>
      <c r="C15" s="13">
        <v>0.35902777777777778</v>
      </c>
      <c r="D15" s="13">
        <v>0.78333333333333333</v>
      </c>
      <c r="E15" s="7">
        <v>1</v>
      </c>
      <c r="F15" s="14">
        <f t="shared" si="1"/>
        <v>9.1833333333333336</v>
      </c>
      <c r="G15" s="15">
        <f t="shared" si="2"/>
        <v>37.000000000000512</v>
      </c>
      <c r="H15" s="3"/>
    </row>
    <row r="16" spans="1:8" x14ac:dyDescent="0.3">
      <c r="A16" s="19">
        <v>46119</v>
      </c>
      <c r="B16" s="12">
        <f t="shared" si="0"/>
        <v>46119</v>
      </c>
      <c r="C16" s="13">
        <v>0.34652777777777782</v>
      </c>
      <c r="D16" s="13">
        <v>0.78472222222222221</v>
      </c>
      <c r="E16" s="7">
        <v>1</v>
      </c>
      <c r="F16" s="14">
        <f t="shared" si="1"/>
        <v>9.5166666666666657</v>
      </c>
      <c r="G16" s="15">
        <f t="shared" si="2"/>
        <v>19.000000000000572</v>
      </c>
      <c r="H16" s="3"/>
    </row>
    <row r="17" spans="1:8" x14ac:dyDescent="0.3">
      <c r="A17" s="19">
        <v>46120</v>
      </c>
      <c r="B17" s="12">
        <f t="shared" si="0"/>
        <v>46120</v>
      </c>
      <c r="C17" s="13">
        <v>0.33888888888888891</v>
      </c>
      <c r="D17" s="13">
        <v>0.78749999999999998</v>
      </c>
      <c r="E17" s="7">
        <v>1</v>
      </c>
      <c r="F17" s="14">
        <f t="shared" si="1"/>
        <v>9.7666666666666657</v>
      </c>
      <c r="G17" s="15">
        <f t="shared" si="2"/>
        <v>8.0000000000005311</v>
      </c>
      <c r="H17" s="3"/>
    </row>
    <row r="18" spans="1:8" x14ac:dyDescent="0.3">
      <c r="A18" s="19">
        <v>46121</v>
      </c>
      <c r="B18" s="12">
        <f t="shared" si="0"/>
        <v>46121</v>
      </c>
      <c r="C18" s="13">
        <v>0.34583333333333333</v>
      </c>
      <c r="D18" s="13">
        <v>0.78819444444444442</v>
      </c>
      <c r="E18" s="7">
        <v>1</v>
      </c>
      <c r="F18" s="14">
        <f t="shared" si="1"/>
        <v>9.6166666666666671</v>
      </c>
      <c r="G18" s="15">
        <f t="shared" si="2"/>
        <v>18.000000000000497</v>
      </c>
      <c r="H18" s="3"/>
    </row>
    <row r="19" spans="1:8" x14ac:dyDescent="0.3">
      <c r="A19" s="19">
        <v>46122</v>
      </c>
      <c r="B19" s="12">
        <f t="shared" si="0"/>
        <v>46122</v>
      </c>
      <c r="C19" s="13">
        <v>0.34652777777777782</v>
      </c>
      <c r="D19" s="13">
        <v>0.79166666666666663</v>
      </c>
      <c r="E19" s="7">
        <v>1</v>
      </c>
      <c r="F19" s="14">
        <f t="shared" si="1"/>
        <v>9.6833333333333318</v>
      </c>
      <c r="G19" s="15">
        <f t="shared" si="2"/>
        <v>19.000000000000572</v>
      </c>
      <c r="H19" s="3"/>
    </row>
    <row r="20" spans="1:8" x14ac:dyDescent="0.3">
      <c r="A20" s="19">
        <v>46123</v>
      </c>
      <c r="B20" s="12">
        <f t="shared" si="0"/>
        <v>46123</v>
      </c>
      <c r="C20" s="13"/>
      <c r="D20" s="13"/>
      <c r="E20" s="7"/>
      <c r="F20" s="14">
        <f t="shared" si="1"/>
        <v>0</v>
      </c>
      <c r="G20" s="15" t="str">
        <f t="shared" si="2"/>
        <v>0</v>
      </c>
      <c r="H20" s="3"/>
    </row>
    <row r="21" spans="1:8" x14ac:dyDescent="0.3">
      <c r="A21" s="19">
        <v>46124</v>
      </c>
      <c r="B21" s="12">
        <f t="shared" si="0"/>
        <v>46124</v>
      </c>
      <c r="C21" s="13"/>
      <c r="D21" s="13"/>
      <c r="E21" s="7"/>
      <c r="F21" s="14">
        <f t="shared" si="1"/>
        <v>0</v>
      </c>
      <c r="G21" s="15" t="str">
        <f t="shared" si="2"/>
        <v>0</v>
      </c>
      <c r="H21" s="3"/>
    </row>
    <row r="22" spans="1:8" x14ac:dyDescent="0.3">
      <c r="A22" s="19">
        <v>46125</v>
      </c>
      <c r="B22" s="12">
        <f t="shared" si="0"/>
        <v>46125</v>
      </c>
      <c r="C22" s="13">
        <v>0.34652777777777782</v>
      </c>
      <c r="D22" s="13">
        <v>0.75208333333333333</v>
      </c>
      <c r="E22" s="7">
        <v>1</v>
      </c>
      <c r="F22" s="14">
        <f t="shared" si="1"/>
        <v>8.7333333333333325</v>
      </c>
      <c r="G22" s="15">
        <f t="shared" si="2"/>
        <v>19.000000000000572</v>
      </c>
      <c r="H22" s="3"/>
    </row>
    <row r="23" spans="1:8" x14ac:dyDescent="0.3">
      <c r="A23" s="19">
        <v>46126</v>
      </c>
      <c r="B23" s="12">
        <f t="shared" si="0"/>
        <v>46126</v>
      </c>
      <c r="C23" s="13">
        <v>0.34791666666666671</v>
      </c>
      <c r="D23" s="13">
        <v>0.34722222222222221</v>
      </c>
      <c r="E23" s="7">
        <v>1</v>
      </c>
      <c r="F23" s="14">
        <f t="shared" si="1"/>
        <v>-1.0166666666666679</v>
      </c>
      <c r="G23" s="15">
        <f t="shared" si="2"/>
        <v>21.000000000000565</v>
      </c>
      <c r="H23" s="3"/>
    </row>
    <row r="24" spans="1:8" x14ac:dyDescent="0.3">
      <c r="A24" s="19">
        <v>46127</v>
      </c>
      <c r="B24" s="12">
        <f t="shared" si="0"/>
        <v>46127</v>
      </c>
      <c r="C24" s="13">
        <v>0.34722222222222221</v>
      </c>
      <c r="D24" s="13">
        <v>0.7729166666666667</v>
      </c>
      <c r="E24" s="7">
        <v>1</v>
      </c>
      <c r="F24" s="14">
        <f t="shared" si="1"/>
        <v>9.2166666666666686</v>
      </c>
      <c r="G24" s="15">
        <f t="shared" si="2"/>
        <v>20.00000000000049</v>
      </c>
      <c r="H24" s="3"/>
    </row>
    <row r="25" spans="1:8" x14ac:dyDescent="0.3">
      <c r="A25" s="19">
        <v>46128</v>
      </c>
      <c r="B25" s="12">
        <f t="shared" si="0"/>
        <v>46128</v>
      </c>
      <c r="C25" s="13">
        <v>0.33888888888888891</v>
      </c>
      <c r="D25" s="13">
        <v>0.78194444444444444</v>
      </c>
      <c r="E25" s="7">
        <v>1</v>
      </c>
      <c r="F25" s="14">
        <f t="shared" si="1"/>
        <v>9.6333333333333329</v>
      </c>
      <c r="G25" s="15">
        <f t="shared" si="2"/>
        <v>8.0000000000005311</v>
      </c>
      <c r="H25" s="3"/>
    </row>
    <row r="26" spans="1:8" x14ac:dyDescent="0.3">
      <c r="A26" s="19">
        <v>46129</v>
      </c>
      <c r="B26" s="12">
        <f t="shared" si="0"/>
        <v>46129</v>
      </c>
      <c r="C26" s="13">
        <v>0.3527777777777778</v>
      </c>
      <c r="D26" s="13">
        <v>0.79097222222222219</v>
      </c>
      <c r="E26" s="7">
        <v>1</v>
      </c>
      <c r="F26" s="14">
        <f t="shared" si="1"/>
        <v>9.5166666666666657</v>
      </c>
      <c r="G26" s="15">
        <f t="shared" si="2"/>
        <v>28.00000000000054</v>
      </c>
      <c r="H26" s="3"/>
    </row>
    <row r="27" spans="1:8" x14ac:dyDescent="0.3">
      <c r="A27" s="19">
        <v>46130</v>
      </c>
      <c r="B27" s="12">
        <f t="shared" si="0"/>
        <v>46130</v>
      </c>
      <c r="C27" s="13"/>
      <c r="D27" s="13"/>
      <c r="E27" s="7"/>
      <c r="F27" s="14">
        <f t="shared" si="1"/>
        <v>0</v>
      </c>
      <c r="G27" s="15" t="str">
        <f t="shared" si="2"/>
        <v>0</v>
      </c>
      <c r="H27" s="3"/>
    </row>
    <row r="28" spans="1:8" x14ac:dyDescent="0.3">
      <c r="A28" s="19">
        <v>46131</v>
      </c>
      <c r="B28" s="12">
        <f t="shared" si="0"/>
        <v>46131</v>
      </c>
      <c r="C28" s="13"/>
      <c r="D28" s="13"/>
      <c r="E28" s="7"/>
      <c r="F28" s="14">
        <f t="shared" si="1"/>
        <v>0</v>
      </c>
      <c r="G28" s="15" t="str">
        <f t="shared" si="2"/>
        <v>0</v>
      </c>
      <c r="H28" s="3"/>
    </row>
    <row r="29" spans="1:8" x14ac:dyDescent="0.3">
      <c r="A29" s="19">
        <v>46132</v>
      </c>
      <c r="B29" s="12">
        <f t="shared" si="0"/>
        <v>46132</v>
      </c>
      <c r="C29" s="13">
        <v>0.34930555555555548</v>
      </c>
      <c r="D29" s="13">
        <v>0.78125</v>
      </c>
      <c r="E29" s="7">
        <v>1</v>
      </c>
      <c r="F29" s="14">
        <f t="shared" si="1"/>
        <v>9.3666666666666689</v>
      </c>
      <c r="G29" s="15">
        <f t="shared" si="2"/>
        <v>23.000000000000398</v>
      </c>
      <c r="H29" s="3"/>
    </row>
    <row r="30" spans="1:8" x14ac:dyDescent="0.3">
      <c r="A30" s="19">
        <v>46133</v>
      </c>
      <c r="B30" s="12">
        <f t="shared" si="0"/>
        <v>46133</v>
      </c>
      <c r="C30" s="13"/>
      <c r="D30" s="13"/>
      <c r="E30" s="7"/>
      <c r="F30" s="14">
        <f t="shared" si="1"/>
        <v>0</v>
      </c>
      <c r="G30" s="15" t="str">
        <f t="shared" si="2"/>
        <v>0</v>
      </c>
      <c r="H30" s="3"/>
    </row>
    <row r="31" spans="1:8" x14ac:dyDescent="0.3">
      <c r="A31" s="19">
        <v>46134</v>
      </c>
      <c r="B31" s="12">
        <f t="shared" si="0"/>
        <v>46134</v>
      </c>
      <c r="C31" s="13"/>
      <c r="D31" s="13"/>
      <c r="E31" s="7"/>
      <c r="F31" s="14">
        <f t="shared" si="1"/>
        <v>0</v>
      </c>
      <c r="G31" s="15" t="str">
        <f t="shared" si="2"/>
        <v>0</v>
      </c>
      <c r="H31" s="3"/>
    </row>
    <row r="32" spans="1:8" x14ac:dyDescent="0.3">
      <c r="A32" s="19">
        <v>46135</v>
      </c>
      <c r="B32" s="12">
        <f t="shared" si="0"/>
        <v>46135</v>
      </c>
      <c r="C32" s="13"/>
      <c r="D32" s="13"/>
      <c r="E32" s="7"/>
      <c r="F32" s="14">
        <f t="shared" si="1"/>
        <v>0</v>
      </c>
      <c r="G32" s="15" t="str">
        <f t="shared" si="2"/>
        <v>0</v>
      </c>
      <c r="H32" s="3"/>
    </row>
    <row r="33" spans="1:8" x14ac:dyDescent="0.3">
      <c r="A33" s="19">
        <v>46136</v>
      </c>
      <c r="B33" s="12">
        <f t="shared" si="0"/>
        <v>46136</v>
      </c>
      <c r="C33" s="13"/>
      <c r="D33" s="13"/>
      <c r="E33" s="7"/>
      <c r="F33" s="14">
        <f t="shared" si="1"/>
        <v>0</v>
      </c>
      <c r="G33" s="15" t="str">
        <f t="shared" si="2"/>
        <v>0</v>
      </c>
      <c r="H33" s="3"/>
    </row>
    <row r="34" spans="1:8" x14ac:dyDescent="0.3">
      <c r="A34" s="19">
        <v>46137</v>
      </c>
      <c r="B34" s="12">
        <f t="shared" si="0"/>
        <v>46137</v>
      </c>
      <c r="C34" s="13"/>
      <c r="D34" s="13"/>
      <c r="E34" s="7"/>
      <c r="F34" s="14">
        <f t="shared" si="1"/>
        <v>0</v>
      </c>
      <c r="G34" s="15" t="str">
        <f t="shared" si="2"/>
        <v>0</v>
      </c>
      <c r="H34" s="3"/>
    </row>
    <row r="35" spans="1:8" x14ac:dyDescent="0.3">
      <c r="A35" s="19">
        <v>46138</v>
      </c>
      <c r="B35" s="12">
        <f t="shared" si="0"/>
        <v>46138</v>
      </c>
      <c r="C35" s="13"/>
      <c r="D35" s="13"/>
      <c r="E35" s="7"/>
      <c r="F35" s="14">
        <f t="shared" si="1"/>
        <v>0</v>
      </c>
      <c r="G35" s="15" t="str">
        <f t="shared" si="2"/>
        <v>0</v>
      </c>
      <c r="H35" s="3"/>
    </row>
    <row r="36" spans="1:8" x14ac:dyDescent="0.3">
      <c r="A36" s="19">
        <v>46139</v>
      </c>
      <c r="B36" s="12">
        <f t="shared" si="0"/>
        <v>46139</v>
      </c>
      <c r="C36" s="13"/>
      <c r="D36" s="13"/>
      <c r="E36" s="7"/>
      <c r="F36" s="14">
        <f t="shared" si="1"/>
        <v>0</v>
      </c>
      <c r="G36" s="15" t="str">
        <f t="shared" si="2"/>
        <v>0</v>
      </c>
      <c r="H36" s="3"/>
    </row>
    <row r="37" spans="1:8" x14ac:dyDescent="0.3">
      <c r="A37" s="19">
        <v>46140</v>
      </c>
      <c r="B37" s="12">
        <f t="shared" si="0"/>
        <v>46140</v>
      </c>
      <c r="C37" s="13"/>
      <c r="D37" s="13"/>
      <c r="E37" s="7"/>
      <c r="F37" s="14">
        <f t="shared" si="1"/>
        <v>0</v>
      </c>
      <c r="G37" s="15" t="str">
        <f t="shared" si="2"/>
        <v>0</v>
      </c>
      <c r="H37" s="3"/>
    </row>
    <row r="38" spans="1:8" x14ac:dyDescent="0.3">
      <c r="A38" s="19">
        <v>46141</v>
      </c>
      <c r="B38" s="12">
        <f t="shared" si="0"/>
        <v>46141</v>
      </c>
      <c r="C38" s="13"/>
      <c r="D38" s="13"/>
      <c r="E38" s="7"/>
      <c r="F38" s="14">
        <f t="shared" si="1"/>
        <v>0</v>
      </c>
      <c r="G38" s="15" t="str">
        <f t="shared" si="2"/>
        <v>0</v>
      </c>
      <c r="H38" s="3"/>
    </row>
    <row r="39" spans="1:8" x14ac:dyDescent="0.3">
      <c r="A39" s="19">
        <v>46142</v>
      </c>
      <c r="B39" s="12">
        <f t="shared" si="0"/>
        <v>46142</v>
      </c>
      <c r="C39" s="13"/>
      <c r="D39" s="13"/>
      <c r="E39" s="7"/>
      <c r="F39" s="14">
        <f t="shared" si="1"/>
        <v>0</v>
      </c>
      <c r="G39" s="15" t="str">
        <f t="shared" si="2"/>
        <v>0</v>
      </c>
      <c r="H39" s="3"/>
    </row>
    <row r="40" spans="1:8" x14ac:dyDescent="0.3">
      <c r="A40" s="44" t="s">
        <v>73</v>
      </c>
      <c r="B40" s="23"/>
      <c r="C40" s="45">
        <f>+COUNT(C10:C39)</f>
        <v>13</v>
      </c>
      <c r="D40" s="23"/>
      <c r="E40" s="23"/>
      <c r="F40" s="23"/>
      <c r="G40" s="23"/>
    </row>
    <row r="41" spans="1:8" x14ac:dyDescent="0.3">
      <c r="A41" s="44" t="s">
        <v>74</v>
      </c>
      <c r="B41" s="23"/>
      <c r="C41" s="46">
        <f>SUM(F10:F39)</f>
        <v>110.58333333333333</v>
      </c>
      <c r="D41" s="23"/>
      <c r="E41" s="23"/>
      <c r="F41" s="23"/>
      <c r="G41" s="23"/>
    </row>
    <row r="42" spans="1:8" x14ac:dyDescent="0.3">
      <c r="A42" s="44" t="s">
        <v>75</v>
      </c>
      <c r="B42" s="23"/>
      <c r="C42" s="45">
        <f>SUM(G10:G39)</f>
        <v>220.00000000000577</v>
      </c>
      <c r="D42" s="23"/>
      <c r="E42" s="23"/>
      <c r="F42" s="23"/>
      <c r="G42" s="23"/>
    </row>
  </sheetData>
  <mergeCells count="7">
    <mergeCell ref="A41:B41"/>
    <mergeCell ref="C42:G42"/>
    <mergeCell ref="A2:H2"/>
    <mergeCell ref="A42:B42"/>
    <mergeCell ref="C41:G41"/>
    <mergeCell ref="A40:B40"/>
    <mergeCell ref="C40:G4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H42"/>
  <sheetViews>
    <sheetView workbookViewId="0">
      <selection activeCell="D7" sqref="D7"/>
    </sheetView>
  </sheetViews>
  <sheetFormatPr defaultRowHeight="14.4" x14ac:dyDescent="0.3"/>
  <cols>
    <col min="1" max="1" width="15.88671875" customWidth="1"/>
    <col min="2" max="2" width="14.33203125" customWidth="1"/>
    <col min="3" max="3" width="14.109375" customWidth="1"/>
    <col min="4" max="4" width="12.33203125" customWidth="1"/>
    <col min="5" max="5" width="13" customWidth="1"/>
    <col min="6" max="6" width="14.88671875" customWidth="1"/>
    <col min="7" max="7" width="17.44140625" customWidth="1"/>
    <col min="8" max="8" width="19.77734375" bestFit="1" customWidth="1"/>
  </cols>
  <sheetData>
    <row r="2" spans="1:8" x14ac:dyDescent="0.3">
      <c r="A2" s="22" t="s">
        <v>63</v>
      </c>
      <c r="B2" s="23"/>
      <c r="C2" s="23"/>
      <c r="D2" s="23"/>
      <c r="E2" s="23"/>
      <c r="F2" s="23"/>
      <c r="G2" s="23"/>
      <c r="H2" s="23"/>
    </row>
    <row r="3" spans="1:8" ht="4.8" customHeight="1" x14ac:dyDescent="0.3"/>
    <row r="4" spans="1:8" x14ac:dyDescent="0.3">
      <c r="A4" s="16" t="s">
        <v>13</v>
      </c>
      <c r="B4" s="17">
        <v>9</v>
      </c>
    </row>
    <row r="5" spans="1:8" x14ac:dyDescent="0.3">
      <c r="A5" s="16" t="s">
        <v>14</v>
      </c>
      <c r="B5" s="17" t="s">
        <v>38</v>
      </c>
    </row>
    <row r="6" spans="1:8" x14ac:dyDescent="0.3">
      <c r="A6" s="16" t="s">
        <v>15</v>
      </c>
      <c r="B6" s="17" t="s">
        <v>39</v>
      </c>
    </row>
    <row r="7" spans="1:8" x14ac:dyDescent="0.3">
      <c r="A7" s="16" t="s">
        <v>17</v>
      </c>
      <c r="B7" s="18">
        <v>9165</v>
      </c>
      <c r="C7" t="s">
        <v>76</v>
      </c>
    </row>
    <row r="8" spans="1:8" ht="4.8" customHeight="1" x14ac:dyDescent="0.3"/>
    <row r="9" spans="1:8" ht="28.8" x14ac:dyDescent="0.3">
      <c r="A9" s="6" t="s">
        <v>64</v>
      </c>
      <c r="B9" s="6" t="s">
        <v>65</v>
      </c>
      <c r="C9" s="6" t="s">
        <v>66</v>
      </c>
      <c r="D9" s="6" t="s">
        <v>67</v>
      </c>
      <c r="E9" s="6" t="s">
        <v>68</v>
      </c>
      <c r="F9" s="6" t="s">
        <v>69</v>
      </c>
      <c r="G9" s="6" t="s">
        <v>70</v>
      </c>
      <c r="H9" s="6" t="s">
        <v>71</v>
      </c>
    </row>
    <row r="10" spans="1:8" x14ac:dyDescent="0.3">
      <c r="A10" s="19">
        <v>46113</v>
      </c>
      <c r="B10" s="12">
        <f t="shared" ref="B10:B39" si="0">+A10</f>
        <v>46113</v>
      </c>
      <c r="C10" s="13">
        <v>0.33333333333333331</v>
      </c>
      <c r="D10" s="13">
        <v>0.70833333333333337</v>
      </c>
      <c r="E10" s="7">
        <v>1</v>
      </c>
      <c r="F10" s="14">
        <f t="shared" ref="F10:F39" si="1">+(D10-C10)*24-E10</f>
        <v>8.0000000000000018</v>
      </c>
      <c r="G10" s="15" t="str">
        <f t="shared" ref="G10:G39" si="2">+IF(C10&gt;0.333333333333333,+(C10-0.333333333333333)*24*60,"0")</f>
        <v>0</v>
      </c>
      <c r="H10" s="3"/>
    </row>
    <row r="11" spans="1:8" x14ac:dyDescent="0.3">
      <c r="A11" s="19">
        <v>46114</v>
      </c>
      <c r="B11" s="12">
        <f t="shared" si="0"/>
        <v>46114</v>
      </c>
      <c r="C11" s="13">
        <v>0.33333333333333331</v>
      </c>
      <c r="D11" s="13">
        <v>0.70833333333333337</v>
      </c>
      <c r="E11" s="7">
        <v>1</v>
      </c>
      <c r="F11" s="14">
        <f t="shared" si="1"/>
        <v>8.0000000000000018</v>
      </c>
      <c r="G11" s="15" t="str">
        <f t="shared" si="2"/>
        <v>0</v>
      </c>
      <c r="H11" s="3"/>
    </row>
    <row r="12" spans="1:8" x14ac:dyDescent="0.3">
      <c r="A12" s="19">
        <v>46115</v>
      </c>
      <c r="B12" s="12">
        <f t="shared" si="0"/>
        <v>46115</v>
      </c>
      <c r="C12" s="13"/>
      <c r="D12" s="13"/>
      <c r="E12" s="7"/>
      <c r="F12" s="14">
        <f t="shared" si="1"/>
        <v>0</v>
      </c>
      <c r="G12" s="15" t="str">
        <f t="shared" si="2"/>
        <v>0</v>
      </c>
      <c r="H12" s="3" t="s">
        <v>72</v>
      </c>
    </row>
    <row r="13" spans="1:8" x14ac:dyDescent="0.3">
      <c r="A13" s="19">
        <v>46116</v>
      </c>
      <c r="B13" s="12">
        <f t="shared" si="0"/>
        <v>46116</v>
      </c>
      <c r="C13" s="13"/>
      <c r="D13" s="13"/>
      <c r="E13" s="7"/>
      <c r="F13" s="14">
        <f t="shared" si="1"/>
        <v>0</v>
      </c>
      <c r="G13" s="15" t="str">
        <f t="shared" si="2"/>
        <v>0</v>
      </c>
      <c r="H13" s="3"/>
    </row>
    <row r="14" spans="1:8" x14ac:dyDescent="0.3">
      <c r="A14" s="19">
        <v>46117</v>
      </c>
      <c r="B14" s="12">
        <f t="shared" si="0"/>
        <v>46117</v>
      </c>
      <c r="C14" s="13"/>
      <c r="D14" s="13"/>
      <c r="E14" s="7"/>
      <c r="F14" s="14">
        <f t="shared" si="1"/>
        <v>0</v>
      </c>
      <c r="G14" s="15" t="str">
        <f t="shared" si="2"/>
        <v>0</v>
      </c>
      <c r="H14" s="3"/>
    </row>
    <row r="15" spans="1:8" x14ac:dyDescent="0.3">
      <c r="A15" s="19">
        <v>46118</v>
      </c>
      <c r="B15" s="12">
        <f t="shared" si="0"/>
        <v>46118</v>
      </c>
      <c r="C15" s="13">
        <v>0.44236111111111109</v>
      </c>
      <c r="D15" s="13">
        <v>0.78472222222222221</v>
      </c>
      <c r="E15" s="7">
        <v>1</v>
      </c>
      <c r="F15" s="14">
        <f t="shared" si="1"/>
        <v>7.2166666666666668</v>
      </c>
      <c r="G15" s="15">
        <f t="shared" si="2"/>
        <v>157.00000000000048</v>
      </c>
      <c r="H15" s="3"/>
    </row>
    <row r="16" spans="1:8" x14ac:dyDescent="0.3">
      <c r="A16" s="19">
        <v>46119</v>
      </c>
      <c r="B16" s="12">
        <f t="shared" si="0"/>
        <v>46119</v>
      </c>
      <c r="C16" s="13">
        <v>0.33819444444444452</v>
      </c>
      <c r="D16" s="13">
        <v>0.78472222222222221</v>
      </c>
      <c r="E16" s="7">
        <v>1</v>
      </c>
      <c r="F16" s="14">
        <f t="shared" si="1"/>
        <v>9.716666666666665</v>
      </c>
      <c r="G16" s="15">
        <f t="shared" si="2"/>
        <v>7.0000000000006146</v>
      </c>
      <c r="H16" s="3"/>
    </row>
    <row r="17" spans="1:8" x14ac:dyDescent="0.3">
      <c r="A17" s="19">
        <v>46120</v>
      </c>
      <c r="B17" s="12">
        <f t="shared" si="0"/>
        <v>46120</v>
      </c>
      <c r="C17" s="13">
        <v>0.34236111111111112</v>
      </c>
      <c r="D17" s="13">
        <v>0.80069444444444449</v>
      </c>
      <c r="E17" s="7">
        <v>1</v>
      </c>
      <c r="F17" s="14">
        <f t="shared" si="1"/>
        <v>10</v>
      </c>
      <c r="G17" s="15">
        <f t="shared" si="2"/>
        <v>13.000000000000513</v>
      </c>
      <c r="H17" s="3"/>
    </row>
    <row r="18" spans="1:8" x14ac:dyDescent="0.3">
      <c r="A18" s="19">
        <v>46121</v>
      </c>
      <c r="B18" s="12">
        <f t="shared" si="0"/>
        <v>46121</v>
      </c>
      <c r="C18" s="13">
        <v>0.34930555555555548</v>
      </c>
      <c r="D18" s="13">
        <v>0.7993055555555556</v>
      </c>
      <c r="E18" s="7">
        <v>1</v>
      </c>
      <c r="F18" s="14">
        <f t="shared" si="1"/>
        <v>9.8000000000000025</v>
      </c>
      <c r="G18" s="15">
        <f t="shared" si="2"/>
        <v>23.000000000000398</v>
      </c>
      <c r="H18" s="3"/>
    </row>
    <row r="19" spans="1:8" x14ac:dyDescent="0.3">
      <c r="A19" s="19">
        <v>46122</v>
      </c>
      <c r="B19" s="12">
        <f t="shared" si="0"/>
        <v>46122</v>
      </c>
      <c r="C19" s="13">
        <v>0.37569444444444439</v>
      </c>
      <c r="D19" s="13">
        <v>0.79791666666666672</v>
      </c>
      <c r="E19" s="7">
        <v>1</v>
      </c>
      <c r="F19" s="14">
        <f t="shared" si="1"/>
        <v>9.1333333333333364</v>
      </c>
      <c r="G19" s="15">
        <f t="shared" si="2"/>
        <v>61.000000000000426</v>
      </c>
      <c r="H19" s="3"/>
    </row>
    <row r="20" spans="1:8" x14ac:dyDescent="0.3">
      <c r="A20" s="19">
        <v>46123</v>
      </c>
      <c r="B20" s="12">
        <f t="shared" si="0"/>
        <v>46123</v>
      </c>
      <c r="C20" s="13"/>
      <c r="D20" s="13"/>
      <c r="E20" s="7"/>
      <c r="F20" s="14">
        <f t="shared" si="1"/>
        <v>0</v>
      </c>
      <c r="G20" s="15" t="str">
        <f t="shared" si="2"/>
        <v>0</v>
      </c>
      <c r="H20" s="3"/>
    </row>
    <row r="21" spans="1:8" x14ac:dyDescent="0.3">
      <c r="A21" s="19">
        <v>46124</v>
      </c>
      <c r="B21" s="12">
        <f t="shared" si="0"/>
        <v>46124</v>
      </c>
      <c r="C21" s="13"/>
      <c r="D21" s="13"/>
      <c r="E21" s="7"/>
      <c r="F21" s="14">
        <f t="shared" si="1"/>
        <v>0</v>
      </c>
      <c r="G21" s="15" t="str">
        <f t="shared" si="2"/>
        <v>0</v>
      </c>
      <c r="H21" s="3"/>
    </row>
    <row r="22" spans="1:8" x14ac:dyDescent="0.3">
      <c r="A22" s="19">
        <v>46125</v>
      </c>
      <c r="B22" s="12">
        <f t="shared" si="0"/>
        <v>46125</v>
      </c>
      <c r="C22" s="13">
        <v>0.34652777777777782</v>
      </c>
      <c r="D22" s="13">
        <v>0.77500000000000002</v>
      </c>
      <c r="E22" s="7">
        <v>1</v>
      </c>
      <c r="F22" s="14">
        <f t="shared" si="1"/>
        <v>9.2833333333333332</v>
      </c>
      <c r="G22" s="15">
        <f t="shared" si="2"/>
        <v>19.000000000000572</v>
      </c>
      <c r="H22" s="3"/>
    </row>
    <row r="23" spans="1:8" x14ac:dyDescent="0.3">
      <c r="A23" s="19">
        <v>46126</v>
      </c>
      <c r="B23" s="12">
        <f t="shared" si="0"/>
        <v>46126</v>
      </c>
      <c r="C23" s="13">
        <v>0.34166666666666667</v>
      </c>
      <c r="D23" s="13">
        <v>0.79027777777777775</v>
      </c>
      <c r="E23" s="7">
        <v>1</v>
      </c>
      <c r="F23" s="14">
        <f t="shared" si="1"/>
        <v>9.7666666666666657</v>
      </c>
      <c r="G23" s="15">
        <f t="shared" si="2"/>
        <v>12.000000000000517</v>
      </c>
      <c r="H23" s="3"/>
    </row>
    <row r="24" spans="1:8" x14ac:dyDescent="0.3">
      <c r="A24" s="19">
        <v>46127</v>
      </c>
      <c r="B24" s="12">
        <f t="shared" si="0"/>
        <v>46127</v>
      </c>
      <c r="C24" s="13">
        <v>0.34583333333333333</v>
      </c>
      <c r="D24" s="13">
        <v>0.78263888888888888</v>
      </c>
      <c r="E24" s="7">
        <v>1</v>
      </c>
      <c r="F24" s="14">
        <f t="shared" si="1"/>
        <v>9.4833333333333343</v>
      </c>
      <c r="G24" s="15">
        <f t="shared" si="2"/>
        <v>18.000000000000497</v>
      </c>
      <c r="H24" s="3"/>
    </row>
    <row r="25" spans="1:8" x14ac:dyDescent="0.3">
      <c r="A25" s="19">
        <v>46128</v>
      </c>
      <c r="B25" s="12">
        <f t="shared" si="0"/>
        <v>46128</v>
      </c>
      <c r="C25" s="13">
        <v>0.34513888888888888</v>
      </c>
      <c r="D25" s="13">
        <v>0.79374999999999996</v>
      </c>
      <c r="E25" s="7">
        <v>1</v>
      </c>
      <c r="F25" s="14">
        <f t="shared" si="1"/>
        <v>9.7666666666666657</v>
      </c>
      <c r="G25" s="15">
        <f t="shared" si="2"/>
        <v>17.000000000000497</v>
      </c>
      <c r="H25" s="3"/>
    </row>
    <row r="26" spans="1:8" x14ac:dyDescent="0.3">
      <c r="A26" s="19">
        <v>46129</v>
      </c>
      <c r="B26" s="12">
        <f t="shared" si="0"/>
        <v>46129</v>
      </c>
      <c r="C26" s="13">
        <v>0.34444444444444439</v>
      </c>
      <c r="D26" s="13">
        <v>0.8041666666666667</v>
      </c>
      <c r="E26" s="7">
        <v>1</v>
      </c>
      <c r="F26" s="14">
        <f t="shared" si="1"/>
        <v>10.033333333333335</v>
      </c>
      <c r="G26" s="15">
        <f t="shared" si="2"/>
        <v>16.000000000000423</v>
      </c>
      <c r="H26" s="3"/>
    </row>
    <row r="27" spans="1:8" x14ac:dyDescent="0.3">
      <c r="A27" s="19">
        <v>46130</v>
      </c>
      <c r="B27" s="12">
        <f t="shared" si="0"/>
        <v>46130</v>
      </c>
      <c r="C27" s="13"/>
      <c r="D27" s="13"/>
      <c r="E27" s="7"/>
      <c r="F27" s="14">
        <f t="shared" si="1"/>
        <v>0</v>
      </c>
      <c r="G27" s="15" t="str">
        <f t="shared" si="2"/>
        <v>0</v>
      </c>
      <c r="H27" s="3"/>
    </row>
    <row r="28" spans="1:8" x14ac:dyDescent="0.3">
      <c r="A28" s="19">
        <v>46131</v>
      </c>
      <c r="B28" s="12">
        <f t="shared" si="0"/>
        <v>46131</v>
      </c>
      <c r="C28" s="13"/>
      <c r="D28" s="13"/>
      <c r="E28" s="7"/>
      <c r="F28" s="14">
        <f t="shared" si="1"/>
        <v>0</v>
      </c>
      <c r="G28" s="15" t="str">
        <f t="shared" si="2"/>
        <v>0</v>
      </c>
      <c r="H28" s="3"/>
    </row>
    <row r="29" spans="1:8" x14ac:dyDescent="0.3">
      <c r="A29" s="19">
        <v>46132</v>
      </c>
      <c r="B29" s="12">
        <f t="shared" si="0"/>
        <v>46132</v>
      </c>
      <c r="C29" s="13">
        <v>0.35486111111111113</v>
      </c>
      <c r="D29" s="13">
        <v>0.78819444444444442</v>
      </c>
      <c r="E29" s="7">
        <v>1</v>
      </c>
      <c r="F29" s="14">
        <f t="shared" si="1"/>
        <v>9.3999999999999986</v>
      </c>
      <c r="G29" s="15">
        <f t="shared" si="2"/>
        <v>31.000000000000529</v>
      </c>
      <c r="H29" s="3"/>
    </row>
    <row r="30" spans="1:8" x14ac:dyDescent="0.3">
      <c r="A30" s="19">
        <v>46133</v>
      </c>
      <c r="B30" s="12">
        <f t="shared" si="0"/>
        <v>46133</v>
      </c>
      <c r="C30" s="13"/>
      <c r="D30" s="13"/>
      <c r="E30" s="7"/>
      <c r="F30" s="14">
        <f t="shared" si="1"/>
        <v>0</v>
      </c>
      <c r="G30" s="15" t="str">
        <f t="shared" si="2"/>
        <v>0</v>
      </c>
      <c r="H30" s="3"/>
    </row>
    <row r="31" spans="1:8" x14ac:dyDescent="0.3">
      <c r="A31" s="19">
        <v>46134</v>
      </c>
      <c r="B31" s="12">
        <f t="shared" si="0"/>
        <v>46134</v>
      </c>
      <c r="C31" s="13"/>
      <c r="D31" s="13"/>
      <c r="E31" s="7"/>
      <c r="F31" s="14">
        <f t="shared" si="1"/>
        <v>0</v>
      </c>
      <c r="G31" s="15" t="str">
        <f t="shared" si="2"/>
        <v>0</v>
      </c>
      <c r="H31" s="3"/>
    </row>
    <row r="32" spans="1:8" x14ac:dyDescent="0.3">
      <c r="A32" s="19">
        <v>46135</v>
      </c>
      <c r="B32" s="12">
        <f t="shared" si="0"/>
        <v>46135</v>
      </c>
      <c r="C32" s="13"/>
      <c r="D32" s="13"/>
      <c r="E32" s="7"/>
      <c r="F32" s="14">
        <f t="shared" si="1"/>
        <v>0</v>
      </c>
      <c r="G32" s="15" t="str">
        <f t="shared" si="2"/>
        <v>0</v>
      </c>
      <c r="H32" s="3"/>
    </row>
    <row r="33" spans="1:8" x14ac:dyDescent="0.3">
      <c r="A33" s="19">
        <v>46136</v>
      </c>
      <c r="B33" s="12">
        <f t="shared" si="0"/>
        <v>46136</v>
      </c>
      <c r="C33" s="13"/>
      <c r="D33" s="13"/>
      <c r="E33" s="7"/>
      <c r="F33" s="14">
        <f t="shared" si="1"/>
        <v>0</v>
      </c>
      <c r="G33" s="15" t="str">
        <f t="shared" si="2"/>
        <v>0</v>
      </c>
      <c r="H33" s="3"/>
    </row>
    <row r="34" spans="1:8" x14ac:dyDescent="0.3">
      <c r="A34" s="19">
        <v>46137</v>
      </c>
      <c r="B34" s="12">
        <f t="shared" si="0"/>
        <v>46137</v>
      </c>
      <c r="C34" s="13"/>
      <c r="D34" s="13"/>
      <c r="E34" s="7"/>
      <c r="F34" s="14">
        <f t="shared" si="1"/>
        <v>0</v>
      </c>
      <c r="G34" s="15" t="str">
        <f t="shared" si="2"/>
        <v>0</v>
      </c>
      <c r="H34" s="3"/>
    </row>
    <row r="35" spans="1:8" x14ac:dyDescent="0.3">
      <c r="A35" s="19">
        <v>46138</v>
      </c>
      <c r="B35" s="12">
        <f t="shared" si="0"/>
        <v>46138</v>
      </c>
      <c r="C35" s="13"/>
      <c r="D35" s="13"/>
      <c r="E35" s="7"/>
      <c r="F35" s="14">
        <f t="shared" si="1"/>
        <v>0</v>
      </c>
      <c r="G35" s="15" t="str">
        <f t="shared" si="2"/>
        <v>0</v>
      </c>
      <c r="H35" s="3"/>
    </row>
    <row r="36" spans="1:8" x14ac:dyDescent="0.3">
      <c r="A36" s="19">
        <v>46139</v>
      </c>
      <c r="B36" s="12">
        <f t="shared" si="0"/>
        <v>46139</v>
      </c>
      <c r="C36" s="13"/>
      <c r="D36" s="13"/>
      <c r="E36" s="7"/>
      <c r="F36" s="14">
        <f t="shared" si="1"/>
        <v>0</v>
      </c>
      <c r="G36" s="15" t="str">
        <f t="shared" si="2"/>
        <v>0</v>
      </c>
      <c r="H36" s="3"/>
    </row>
    <row r="37" spans="1:8" x14ac:dyDescent="0.3">
      <c r="A37" s="19">
        <v>46140</v>
      </c>
      <c r="B37" s="12">
        <f t="shared" si="0"/>
        <v>46140</v>
      </c>
      <c r="C37" s="13"/>
      <c r="D37" s="13"/>
      <c r="E37" s="7"/>
      <c r="F37" s="14">
        <f t="shared" si="1"/>
        <v>0</v>
      </c>
      <c r="G37" s="15" t="str">
        <f t="shared" si="2"/>
        <v>0</v>
      </c>
      <c r="H37" s="3"/>
    </row>
    <row r="38" spans="1:8" x14ac:dyDescent="0.3">
      <c r="A38" s="19">
        <v>46141</v>
      </c>
      <c r="B38" s="12">
        <f t="shared" si="0"/>
        <v>46141</v>
      </c>
      <c r="C38" s="13"/>
      <c r="D38" s="13"/>
      <c r="E38" s="7"/>
      <c r="F38" s="14">
        <f t="shared" si="1"/>
        <v>0</v>
      </c>
      <c r="G38" s="15" t="str">
        <f t="shared" si="2"/>
        <v>0</v>
      </c>
      <c r="H38" s="3"/>
    </row>
    <row r="39" spans="1:8" x14ac:dyDescent="0.3">
      <c r="A39" s="19">
        <v>46142</v>
      </c>
      <c r="B39" s="12">
        <f t="shared" si="0"/>
        <v>46142</v>
      </c>
      <c r="C39" s="13"/>
      <c r="D39" s="13"/>
      <c r="E39" s="7"/>
      <c r="F39" s="14">
        <f t="shared" si="1"/>
        <v>0</v>
      </c>
      <c r="G39" s="15" t="str">
        <f t="shared" si="2"/>
        <v>0</v>
      </c>
      <c r="H39" s="3"/>
    </row>
    <row r="40" spans="1:8" x14ac:dyDescent="0.3">
      <c r="A40" s="44" t="s">
        <v>73</v>
      </c>
      <c r="B40" s="23"/>
      <c r="C40" s="45">
        <f>+COUNT(C10:C39)</f>
        <v>13</v>
      </c>
      <c r="D40" s="23"/>
      <c r="E40" s="23"/>
      <c r="F40" s="23"/>
      <c r="G40" s="23"/>
    </row>
    <row r="41" spans="1:8" x14ac:dyDescent="0.3">
      <c r="A41" s="44" t="s">
        <v>74</v>
      </c>
      <c r="B41" s="23"/>
      <c r="C41" s="46">
        <f>SUM(F10:F39)</f>
        <v>119.6</v>
      </c>
      <c r="D41" s="23"/>
      <c r="E41" s="23"/>
      <c r="F41" s="23"/>
      <c r="G41" s="23"/>
    </row>
    <row r="42" spans="1:8" x14ac:dyDescent="0.3">
      <c r="A42" s="44" t="s">
        <v>75</v>
      </c>
      <c r="B42" s="23"/>
      <c r="C42" s="45">
        <f>SUM(G10:G39)</f>
        <v>374.00000000000546</v>
      </c>
      <c r="D42" s="23"/>
      <c r="E42" s="23"/>
      <c r="F42" s="23"/>
      <c r="G42" s="23"/>
    </row>
  </sheetData>
  <mergeCells count="7">
    <mergeCell ref="A41:B41"/>
    <mergeCell ref="C42:G42"/>
    <mergeCell ref="A2:H2"/>
    <mergeCell ref="A42:B42"/>
    <mergeCell ref="C41:G41"/>
    <mergeCell ref="A40:B40"/>
    <mergeCell ref="C40:G4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H42"/>
  <sheetViews>
    <sheetView topLeftCell="A5" workbookViewId="0">
      <selection activeCell="C16" sqref="C16"/>
    </sheetView>
  </sheetViews>
  <sheetFormatPr defaultRowHeight="14.4" x14ac:dyDescent="0.3"/>
  <cols>
    <col min="1" max="1" width="15.88671875" customWidth="1"/>
    <col min="2" max="2" width="14.33203125" customWidth="1"/>
    <col min="3" max="3" width="14.109375" customWidth="1"/>
    <col min="4" max="4" width="12.33203125" customWidth="1"/>
    <col min="5" max="5" width="13" customWidth="1"/>
    <col min="6" max="6" width="14.88671875" customWidth="1"/>
    <col min="7" max="7" width="17.44140625" customWidth="1"/>
    <col min="8" max="8" width="19.77734375" bestFit="1" customWidth="1"/>
  </cols>
  <sheetData>
    <row r="2" spans="1:8" x14ac:dyDescent="0.3">
      <c r="A2" s="22" t="s">
        <v>63</v>
      </c>
      <c r="B2" s="23"/>
      <c r="C2" s="23"/>
      <c r="D2" s="23"/>
      <c r="E2" s="23"/>
      <c r="F2" s="23"/>
      <c r="G2" s="23"/>
      <c r="H2" s="23"/>
    </row>
    <row r="3" spans="1:8" ht="4.8" customHeight="1" x14ac:dyDescent="0.3"/>
    <row r="4" spans="1:8" x14ac:dyDescent="0.3">
      <c r="A4" s="16" t="s">
        <v>13</v>
      </c>
      <c r="B4" s="17">
        <v>10</v>
      </c>
    </row>
    <row r="5" spans="1:8" x14ac:dyDescent="0.3">
      <c r="A5" s="16" t="s">
        <v>14</v>
      </c>
      <c r="B5" s="17" t="s">
        <v>40</v>
      </c>
    </row>
    <row r="6" spans="1:8" x14ac:dyDescent="0.3">
      <c r="A6" s="16" t="s">
        <v>15</v>
      </c>
      <c r="B6" s="17" t="s">
        <v>41</v>
      </c>
    </row>
    <row r="7" spans="1:8" x14ac:dyDescent="0.3">
      <c r="A7" s="16" t="s">
        <v>17</v>
      </c>
      <c r="B7" s="18">
        <v>16240</v>
      </c>
      <c r="C7" t="s">
        <v>76</v>
      </c>
    </row>
    <row r="8" spans="1:8" ht="4.8" customHeight="1" x14ac:dyDescent="0.3"/>
    <row r="9" spans="1:8" ht="28.8" x14ac:dyDescent="0.3">
      <c r="A9" s="6" t="s">
        <v>64</v>
      </c>
      <c r="B9" s="6" t="s">
        <v>65</v>
      </c>
      <c r="C9" s="6" t="s">
        <v>66</v>
      </c>
      <c r="D9" s="6" t="s">
        <v>67</v>
      </c>
      <c r="E9" s="6" t="s">
        <v>68</v>
      </c>
      <c r="F9" s="6" t="s">
        <v>69</v>
      </c>
      <c r="G9" s="6" t="s">
        <v>70</v>
      </c>
      <c r="H9" s="6" t="s">
        <v>71</v>
      </c>
    </row>
    <row r="10" spans="1:8" x14ac:dyDescent="0.3">
      <c r="A10" s="19">
        <v>46113</v>
      </c>
      <c r="B10" s="12">
        <f t="shared" ref="B10:B39" si="0">+A10</f>
        <v>46113</v>
      </c>
      <c r="C10" s="13">
        <v>0.33333333333333331</v>
      </c>
      <c r="D10" s="13">
        <v>0.70833333333333337</v>
      </c>
      <c r="E10" s="7">
        <v>1</v>
      </c>
      <c r="F10" s="14">
        <f t="shared" ref="F10:F39" si="1">+(D10-C10)*24-E10</f>
        <v>8.0000000000000018</v>
      </c>
      <c r="G10" s="15" t="str">
        <f t="shared" ref="G10:G39" si="2">+IF(C10&gt;0.333333333333333,+(C10-0.333333333333333)*24*60,"0")</f>
        <v>0</v>
      </c>
      <c r="H10" s="3"/>
    </row>
    <row r="11" spans="1:8" x14ac:dyDescent="0.3">
      <c r="A11" s="19">
        <v>46114</v>
      </c>
      <c r="B11" s="12">
        <f t="shared" si="0"/>
        <v>46114</v>
      </c>
      <c r="C11" s="13">
        <v>0.33333333333333331</v>
      </c>
      <c r="D11" s="13">
        <v>0.70833333333333337</v>
      </c>
      <c r="E11" s="7">
        <v>1</v>
      </c>
      <c r="F11" s="14">
        <f t="shared" si="1"/>
        <v>8.0000000000000018</v>
      </c>
      <c r="G11" s="15" t="str">
        <f t="shared" si="2"/>
        <v>0</v>
      </c>
      <c r="H11" s="3"/>
    </row>
    <row r="12" spans="1:8" x14ac:dyDescent="0.3">
      <c r="A12" s="19">
        <v>46115</v>
      </c>
      <c r="B12" s="12">
        <f t="shared" si="0"/>
        <v>46115</v>
      </c>
      <c r="C12" s="13"/>
      <c r="D12" s="13"/>
      <c r="E12" s="7"/>
      <c r="F12" s="14">
        <f t="shared" si="1"/>
        <v>0</v>
      </c>
      <c r="G12" s="15" t="str">
        <f t="shared" si="2"/>
        <v>0</v>
      </c>
      <c r="H12" s="3" t="s">
        <v>72</v>
      </c>
    </row>
    <row r="13" spans="1:8" x14ac:dyDescent="0.3">
      <c r="A13" s="19">
        <v>46116</v>
      </c>
      <c r="B13" s="12">
        <f t="shared" si="0"/>
        <v>46116</v>
      </c>
      <c r="C13" s="13"/>
      <c r="D13" s="13"/>
      <c r="E13" s="7"/>
      <c r="F13" s="14">
        <f t="shared" si="1"/>
        <v>0</v>
      </c>
      <c r="G13" s="15" t="str">
        <f t="shared" si="2"/>
        <v>0</v>
      </c>
      <c r="H13" s="3"/>
    </row>
    <row r="14" spans="1:8" x14ac:dyDescent="0.3">
      <c r="A14" s="19">
        <v>46117</v>
      </c>
      <c r="B14" s="12">
        <f t="shared" si="0"/>
        <v>46117</v>
      </c>
      <c r="C14" s="13"/>
      <c r="D14" s="13"/>
      <c r="E14" s="7"/>
      <c r="F14" s="14">
        <f t="shared" si="1"/>
        <v>0</v>
      </c>
      <c r="G14" s="15" t="str">
        <f t="shared" si="2"/>
        <v>0</v>
      </c>
      <c r="H14" s="3"/>
    </row>
    <row r="15" spans="1:8" x14ac:dyDescent="0.3">
      <c r="A15" s="19">
        <v>46118</v>
      </c>
      <c r="B15" s="12">
        <f t="shared" si="0"/>
        <v>46118</v>
      </c>
      <c r="C15" s="13">
        <v>0.33333333333333331</v>
      </c>
      <c r="D15" s="13">
        <v>0.70833333333333337</v>
      </c>
      <c r="E15" s="7">
        <v>1</v>
      </c>
      <c r="F15" s="14">
        <f t="shared" si="1"/>
        <v>8.0000000000000018</v>
      </c>
      <c r="G15" s="15" t="str">
        <f t="shared" si="2"/>
        <v>0</v>
      </c>
      <c r="H15" s="3"/>
    </row>
    <row r="16" spans="1:8" x14ac:dyDescent="0.3">
      <c r="A16" s="19">
        <v>46119</v>
      </c>
      <c r="B16" s="12">
        <f t="shared" si="0"/>
        <v>46119</v>
      </c>
      <c r="C16" s="13">
        <v>0.33333333333333331</v>
      </c>
      <c r="D16" s="13">
        <v>0.70833333333333337</v>
      </c>
      <c r="E16" s="7">
        <v>1</v>
      </c>
      <c r="F16" s="14">
        <f t="shared" si="1"/>
        <v>8.0000000000000018</v>
      </c>
      <c r="G16" s="15" t="str">
        <f t="shared" si="2"/>
        <v>0</v>
      </c>
      <c r="H16" s="3"/>
    </row>
    <row r="17" spans="1:8" x14ac:dyDescent="0.3">
      <c r="A17" s="19">
        <v>46120</v>
      </c>
      <c r="B17" s="12">
        <f t="shared" si="0"/>
        <v>46120</v>
      </c>
      <c r="C17" s="13">
        <v>0.33333333333333331</v>
      </c>
      <c r="D17" s="13">
        <v>0.70833333333333337</v>
      </c>
      <c r="E17" s="7">
        <v>1</v>
      </c>
      <c r="F17" s="14">
        <f t="shared" si="1"/>
        <v>8.0000000000000018</v>
      </c>
      <c r="G17" s="15" t="str">
        <f t="shared" si="2"/>
        <v>0</v>
      </c>
      <c r="H17" s="3"/>
    </row>
    <row r="18" spans="1:8" x14ac:dyDescent="0.3">
      <c r="A18" s="19">
        <v>46121</v>
      </c>
      <c r="B18" s="12">
        <f t="shared" si="0"/>
        <v>46121</v>
      </c>
      <c r="C18" s="13">
        <v>0.41041666666666671</v>
      </c>
      <c r="D18" s="13">
        <v>0.7416666666666667</v>
      </c>
      <c r="E18" s="7">
        <v>1</v>
      </c>
      <c r="F18" s="14">
        <f t="shared" si="1"/>
        <v>6.9499999999999993</v>
      </c>
      <c r="G18" s="15">
        <f t="shared" si="2"/>
        <v>111.00000000000057</v>
      </c>
      <c r="H18" s="3"/>
    </row>
    <row r="19" spans="1:8" x14ac:dyDescent="0.3">
      <c r="A19" s="19">
        <v>46122</v>
      </c>
      <c r="B19" s="12">
        <f t="shared" si="0"/>
        <v>46122</v>
      </c>
      <c r="C19" s="13">
        <v>0.33819444444444452</v>
      </c>
      <c r="D19" s="13">
        <v>0.73055555555555551</v>
      </c>
      <c r="E19" s="7">
        <v>1</v>
      </c>
      <c r="F19" s="14">
        <f t="shared" si="1"/>
        <v>8.4166666666666643</v>
      </c>
      <c r="G19" s="15">
        <f t="shared" si="2"/>
        <v>7.0000000000006146</v>
      </c>
      <c r="H19" s="3"/>
    </row>
    <row r="20" spans="1:8" x14ac:dyDescent="0.3">
      <c r="A20" s="19">
        <v>46123</v>
      </c>
      <c r="B20" s="12">
        <f t="shared" si="0"/>
        <v>46123</v>
      </c>
      <c r="C20" s="13"/>
      <c r="D20" s="13"/>
      <c r="E20" s="7"/>
      <c r="F20" s="14">
        <f t="shared" si="1"/>
        <v>0</v>
      </c>
      <c r="G20" s="15" t="str">
        <f t="shared" si="2"/>
        <v>0</v>
      </c>
      <c r="H20" s="3"/>
    </row>
    <row r="21" spans="1:8" x14ac:dyDescent="0.3">
      <c r="A21" s="19">
        <v>46124</v>
      </c>
      <c r="B21" s="12">
        <f t="shared" si="0"/>
        <v>46124</v>
      </c>
      <c r="C21" s="13"/>
      <c r="D21" s="13"/>
      <c r="E21" s="7"/>
      <c r="F21" s="14">
        <f t="shared" si="1"/>
        <v>0</v>
      </c>
      <c r="G21" s="15" t="str">
        <f t="shared" si="2"/>
        <v>0</v>
      </c>
      <c r="H21" s="3"/>
    </row>
    <row r="22" spans="1:8" x14ac:dyDescent="0.3">
      <c r="A22" s="19">
        <v>46125</v>
      </c>
      <c r="B22" s="12">
        <f t="shared" si="0"/>
        <v>46125</v>
      </c>
      <c r="C22" s="13">
        <v>0.33958333333333329</v>
      </c>
      <c r="D22" s="13">
        <v>0.72986111111111107</v>
      </c>
      <c r="E22" s="7">
        <v>1</v>
      </c>
      <c r="F22" s="14">
        <f t="shared" si="1"/>
        <v>8.3666666666666671</v>
      </c>
      <c r="G22" s="15">
        <f t="shared" si="2"/>
        <v>9.0000000000004476</v>
      </c>
      <c r="H22" s="3"/>
    </row>
    <row r="23" spans="1:8" x14ac:dyDescent="0.3">
      <c r="A23" s="19">
        <v>46126</v>
      </c>
      <c r="B23" s="12">
        <f t="shared" si="0"/>
        <v>46126</v>
      </c>
      <c r="C23" s="13">
        <v>0.33611111111111108</v>
      </c>
      <c r="D23" s="13">
        <v>0.76597222222222228</v>
      </c>
      <c r="E23" s="7">
        <v>1</v>
      </c>
      <c r="F23" s="14">
        <f t="shared" si="1"/>
        <v>9.3166666666666682</v>
      </c>
      <c r="G23" s="15">
        <f t="shared" si="2"/>
        <v>4.0000000000004654</v>
      </c>
      <c r="H23" s="3"/>
    </row>
    <row r="24" spans="1:8" x14ac:dyDescent="0.3">
      <c r="A24" s="19">
        <v>46127</v>
      </c>
      <c r="B24" s="12">
        <f t="shared" si="0"/>
        <v>46127</v>
      </c>
      <c r="C24" s="13">
        <v>0.33958333333333329</v>
      </c>
      <c r="D24" s="13">
        <v>0.75624999999999998</v>
      </c>
      <c r="E24" s="7">
        <v>1</v>
      </c>
      <c r="F24" s="14">
        <f t="shared" si="1"/>
        <v>9</v>
      </c>
      <c r="G24" s="15">
        <f t="shared" si="2"/>
        <v>9.0000000000004476</v>
      </c>
      <c r="H24" s="3"/>
    </row>
    <row r="25" spans="1:8" x14ac:dyDescent="0.3">
      <c r="A25" s="19">
        <v>46128</v>
      </c>
      <c r="B25" s="12">
        <f t="shared" si="0"/>
        <v>46128</v>
      </c>
      <c r="C25" s="13">
        <v>0.33680555555555558</v>
      </c>
      <c r="D25" s="13">
        <v>0.73541666666666672</v>
      </c>
      <c r="E25" s="7">
        <v>1</v>
      </c>
      <c r="F25" s="14">
        <f t="shared" si="1"/>
        <v>8.5666666666666664</v>
      </c>
      <c r="G25" s="15">
        <f t="shared" si="2"/>
        <v>5.0000000000005418</v>
      </c>
      <c r="H25" s="3"/>
    </row>
    <row r="26" spans="1:8" x14ac:dyDescent="0.3">
      <c r="A26" s="19">
        <v>46129</v>
      </c>
      <c r="B26" s="12">
        <f t="shared" si="0"/>
        <v>46129</v>
      </c>
      <c r="C26" s="13">
        <v>0.34791666666666671</v>
      </c>
      <c r="D26" s="13">
        <v>0.75138888888888888</v>
      </c>
      <c r="E26" s="7">
        <v>1</v>
      </c>
      <c r="F26" s="14">
        <f t="shared" si="1"/>
        <v>8.6833333333333318</v>
      </c>
      <c r="G26" s="15">
        <f t="shared" si="2"/>
        <v>21.000000000000565</v>
      </c>
      <c r="H26" s="3"/>
    </row>
    <row r="27" spans="1:8" x14ac:dyDescent="0.3">
      <c r="A27" s="19">
        <v>46130</v>
      </c>
      <c r="B27" s="12">
        <f t="shared" si="0"/>
        <v>46130</v>
      </c>
      <c r="C27" s="13"/>
      <c r="D27" s="13"/>
      <c r="E27" s="7"/>
      <c r="F27" s="14">
        <f t="shared" si="1"/>
        <v>0</v>
      </c>
      <c r="G27" s="15" t="str">
        <f t="shared" si="2"/>
        <v>0</v>
      </c>
      <c r="H27" s="3"/>
    </row>
    <row r="28" spans="1:8" x14ac:dyDescent="0.3">
      <c r="A28" s="19">
        <v>46131</v>
      </c>
      <c r="B28" s="12">
        <f t="shared" si="0"/>
        <v>46131</v>
      </c>
      <c r="C28" s="13"/>
      <c r="D28" s="13"/>
      <c r="E28" s="7"/>
      <c r="F28" s="14">
        <f t="shared" si="1"/>
        <v>0</v>
      </c>
      <c r="G28" s="15" t="str">
        <f t="shared" si="2"/>
        <v>0</v>
      </c>
      <c r="H28" s="3"/>
    </row>
    <row r="29" spans="1:8" x14ac:dyDescent="0.3">
      <c r="A29" s="19">
        <v>46132</v>
      </c>
      <c r="B29" s="12">
        <f t="shared" si="0"/>
        <v>46132</v>
      </c>
      <c r="C29" s="13">
        <v>0.33541666666666659</v>
      </c>
      <c r="D29" s="13">
        <v>0.76597222222222228</v>
      </c>
      <c r="E29" s="7">
        <v>1</v>
      </c>
      <c r="F29" s="14">
        <f t="shared" si="1"/>
        <v>9.3333333333333357</v>
      </c>
      <c r="G29" s="15">
        <f t="shared" si="2"/>
        <v>3.000000000000389</v>
      </c>
      <c r="H29" s="3"/>
    </row>
    <row r="30" spans="1:8" x14ac:dyDescent="0.3">
      <c r="A30" s="19">
        <v>46133</v>
      </c>
      <c r="B30" s="12">
        <f t="shared" si="0"/>
        <v>46133</v>
      </c>
      <c r="C30" s="13"/>
      <c r="D30" s="13"/>
      <c r="E30" s="7"/>
      <c r="F30" s="14">
        <f t="shared" si="1"/>
        <v>0</v>
      </c>
      <c r="G30" s="15" t="str">
        <f t="shared" si="2"/>
        <v>0</v>
      </c>
      <c r="H30" s="3"/>
    </row>
    <row r="31" spans="1:8" x14ac:dyDescent="0.3">
      <c r="A31" s="19">
        <v>46134</v>
      </c>
      <c r="B31" s="12">
        <f t="shared" si="0"/>
        <v>46134</v>
      </c>
      <c r="C31" s="13"/>
      <c r="D31" s="13"/>
      <c r="E31" s="7"/>
      <c r="F31" s="14">
        <f t="shared" si="1"/>
        <v>0</v>
      </c>
      <c r="G31" s="15" t="str">
        <f t="shared" si="2"/>
        <v>0</v>
      </c>
      <c r="H31" s="3"/>
    </row>
    <row r="32" spans="1:8" x14ac:dyDescent="0.3">
      <c r="A32" s="19">
        <v>46135</v>
      </c>
      <c r="B32" s="12">
        <f t="shared" si="0"/>
        <v>46135</v>
      </c>
      <c r="C32" s="13"/>
      <c r="D32" s="13"/>
      <c r="E32" s="7"/>
      <c r="F32" s="14">
        <f t="shared" si="1"/>
        <v>0</v>
      </c>
      <c r="G32" s="15" t="str">
        <f t="shared" si="2"/>
        <v>0</v>
      </c>
      <c r="H32" s="3"/>
    </row>
    <row r="33" spans="1:8" x14ac:dyDescent="0.3">
      <c r="A33" s="19">
        <v>46136</v>
      </c>
      <c r="B33" s="12">
        <f t="shared" si="0"/>
        <v>46136</v>
      </c>
      <c r="C33" s="13"/>
      <c r="D33" s="13"/>
      <c r="E33" s="7"/>
      <c r="F33" s="14">
        <f t="shared" si="1"/>
        <v>0</v>
      </c>
      <c r="G33" s="15" t="str">
        <f t="shared" si="2"/>
        <v>0</v>
      </c>
      <c r="H33" s="3"/>
    </row>
    <row r="34" spans="1:8" x14ac:dyDescent="0.3">
      <c r="A34" s="19">
        <v>46137</v>
      </c>
      <c r="B34" s="12">
        <f t="shared" si="0"/>
        <v>46137</v>
      </c>
      <c r="C34" s="13"/>
      <c r="D34" s="13"/>
      <c r="E34" s="7"/>
      <c r="F34" s="14">
        <f t="shared" si="1"/>
        <v>0</v>
      </c>
      <c r="G34" s="15" t="str">
        <f t="shared" si="2"/>
        <v>0</v>
      </c>
      <c r="H34" s="3"/>
    </row>
    <row r="35" spans="1:8" x14ac:dyDescent="0.3">
      <c r="A35" s="19">
        <v>46138</v>
      </c>
      <c r="B35" s="12">
        <f t="shared" si="0"/>
        <v>46138</v>
      </c>
      <c r="C35" s="13"/>
      <c r="D35" s="13"/>
      <c r="E35" s="7"/>
      <c r="F35" s="14">
        <f t="shared" si="1"/>
        <v>0</v>
      </c>
      <c r="G35" s="15" t="str">
        <f t="shared" si="2"/>
        <v>0</v>
      </c>
      <c r="H35" s="3"/>
    </row>
    <row r="36" spans="1:8" x14ac:dyDescent="0.3">
      <c r="A36" s="19">
        <v>46139</v>
      </c>
      <c r="B36" s="12">
        <f t="shared" si="0"/>
        <v>46139</v>
      </c>
      <c r="C36" s="13"/>
      <c r="D36" s="13"/>
      <c r="E36" s="7"/>
      <c r="F36" s="14">
        <f t="shared" si="1"/>
        <v>0</v>
      </c>
      <c r="G36" s="15" t="str">
        <f t="shared" si="2"/>
        <v>0</v>
      </c>
      <c r="H36" s="3"/>
    </row>
    <row r="37" spans="1:8" x14ac:dyDescent="0.3">
      <c r="A37" s="19">
        <v>46140</v>
      </c>
      <c r="B37" s="12">
        <f t="shared" si="0"/>
        <v>46140</v>
      </c>
      <c r="C37" s="13"/>
      <c r="D37" s="13"/>
      <c r="E37" s="7"/>
      <c r="F37" s="14">
        <f t="shared" si="1"/>
        <v>0</v>
      </c>
      <c r="G37" s="15" t="str">
        <f t="shared" si="2"/>
        <v>0</v>
      </c>
      <c r="H37" s="3"/>
    </row>
    <row r="38" spans="1:8" x14ac:dyDescent="0.3">
      <c r="A38" s="19">
        <v>46141</v>
      </c>
      <c r="B38" s="12">
        <f t="shared" si="0"/>
        <v>46141</v>
      </c>
      <c r="C38" s="13"/>
      <c r="D38" s="13"/>
      <c r="E38" s="7"/>
      <c r="F38" s="14">
        <f t="shared" si="1"/>
        <v>0</v>
      </c>
      <c r="G38" s="15" t="str">
        <f t="shared" si="2"/>
        <v>0</v>
      </c>
      <c r="H38" s="3"/>
    </row>
    <row r="39" spans="1:8" x14ac:dyDescent="0.3">
      <c r="A39" s="19">
        <v>46142</v>
      </c>
      <c r="B39" s="12">
        <f t="shared" si="0"/>
        <v>46142</v>
      </c>
      <c r="C39" s="13"/>
      <c r="D39" s="13"/>
      <c r="E39" s="7"/>
      <c r="F39" s="14">
        <f t="shared" si="1"/>
        <v>0</v>
      </c>
      <c r="G39" s="15" t="str">
        <f t="shared" si="2"/>
        <v>0</v>
      </c>
      <c r="H39" s="3"/>
    </row>
    <row r="40" spans="1:8" x14ac:dyDescent="0.3">
      <c r="A40" s="44" t="s">
        <v>73</v>
      </c>
      <c r="B40" s="23"/>
      <c r="C40" s="45">
        <f>+COUNT(C10:C39)</f>
        <v>13</v>
      </c>
      <c r="D40" s="23"/>
      <c r="E40" s="23"/>
      <c r="F40" s="23"/>
      <c r="G40" s="23"/>
    </row>
    <row r="41" spans="1:8" x14ac:dyDescent="0.3">
      <c r="A41" s="44" t="s">
        <v>74</v>
      </c>
      <c r="B41" s="23"/>
      <c r="C41" s="46">
        <f>SUM(F10:F39)</f>
        <v>108.63333333333333</v>
      </c>
      <c r="D41" s="23"/>
      <c r="E41" s="23"/>
      <c r="F41" s="23"/>
      <c r="G41" s="23"/>
    </row>
    <row r="42" spans="1:8" x14ac:dyDescent="0.3">
      <c r="A42" s="44" t="s">
        <v>75</v>
      </c>
      <c r="B42" s="23"/>
      <c r="C42" s="45">
        <f>SUM(G10:G39)</f>
        <v>169.00000000000404</v>
      </c>
      <c r="D42" s="23"/>
      <c r="E42" s="23"/>
      <c r="F42" s="23"/>
      <c r="G42" s="23"/>
    </row>
  </sheetData>
  <mergeCells count="7">
    <mergeCell ref="A41:B41"/>
    <mergeCell ref="C42:G42"/>
    <mergeCell ref="A2:H2"/>
    <mergeCell ref="A42:B42"/>
    <mergeCell ref="C41:G41"/>
    <mergeCell ref="A40:B40"/>
    <mergeCell ref="C40:G4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H42"/>
  <sheetViews>
    <sheetView topLeftCell="A2" workbookViewId="0">
      <selection activeCell="C24" sqref="C24"/>
    </sheetView>
  </sheetViews>
  <sheetFormatPr defaultRowHeight="14.4" x14ac:dyDescent="0.3"/>
  <cols>
    <col min="1" max="1" width="15.88671875" customWidth="1"/>
    <col min="2" max="2" width="14.33203125" customWidth="1"/>
    <col min="3" max="3" width="14.109375" customWidth="1"/>
    <col min="4" max="4" width="12.33203125" customWidth="1"/>
    <col min="5" max="5" width="13" customWidth="1"/>
    <col min="6" max="6" width="14.88671875" customWidth="1"/>
    <col min="7" max="7" width="17.44140625" customWidth="1"/>
    <col min="8" max="8" width="19.77734375" bestFit="1" customWidth="1"/>
  </cols>
  <sheetData>
    <row r="2" spans="1:8" x14ac:dyDescent="0.3">
      <c r="A2" s="22" t="s">
        <v>63</v>
      </c>
      <c r="B2" s="23"/>
      <c r="C2" s="23"/>
      <c r="D2" s="23"/>
      <c r="E2" s="23"/>
      <c r="F2" s="23"/>
      <c r="G2" s="23"/>
      <c r="H2" s="23"/>
    </row>
    <row r="3" spans="1:8" ht="4.8" customHeight="1" x14ac:dyDescent="0.3"/>
    <row r="4" spans="1:8" x14ac:dyDescent="0.3">
      <c r="A4" s="16" t="s">
        <v>13</v>
      </c>
      <c r="B4" s="17">
        <v>11</v>
      </c>
    </row>
    <row r="5" spans="1:8" x14ac:dyDescent="0.3">
      <c r="A5" s="16" t="s">
        <v>14</v>
      </c>
      <c r="B5" s="17" t="s">
        <v>42</v>
      </c>
    </row>
    <row r="6" spans="1:8" x14ac:dyDescent="0.3">
      <c r="A6" s="16" t="s">
        <v>15</v>
      </c>
      <c r="B6" s="17" t="s">
        <v>41</v>
      </c>
    </row>
    <row r="7" spans="1:8" x14ac:dyDescent="0.3">
      <c r="A7" s="16" t="s">
        <v>17</v>
      </c>
      <c r="B7" s="18">
        <v>12483</v>
      </c>
      <c r="C7" t="s">
        <v>76</v>
      </c>
    </row>
    <row r="8" spans="1:8" ht="4.8" customHeight="1" x14ac:dyDescent="0.3"/>
    <row r="9" spans="1:8" ht="28.8" x14ac:dyDescent="0.3">
      <c r="A9" s="6" t="s">
        <v>64</v>
      </c>
      <c r="B9" s="6" t="s">
        <v>65</v>
      </c>
      <c r="C9" s="6" t="s">
        <v>66</v>
      </c>
      <c r="D9" s="6" t="s">
        <v>67</v>
      </c>
      <c r="E9" s="6" t="s">
        <v>68</v>
      </c>
      <c r="F9" s="6" t="s">
        <v>69</v>
      </c>
      <c r="G9" s="6" t="s">
        <v>70</v>
      </c>
      <c r="H9" s="6" t="s">
        <v>71</v>
      </c>
    </row>
    <row r="10" spans="1:8" x14ac:dyDescent="0.3">
      <c r="A10" s="8">
        <v>46113</v>
      </c>
      <c r="B10" s="12">
        <f t="shared" ref="B10:B39" si="0">+A10</f>
        <v>46113</v>
      </c>
      <c r="C10" s="13">
        <v>0.33333333333333331</v>
      </c>
      <c r="D10" s="13">
        <v>0.70833333333333337</v>
      </c>
      <c r="E10" s="7">
        <v>1</v>
      </c>
      <c r="F10" s="14">
        <f t="shared" ref="F10:F39" si="1">+(D10-C10)*24-E10</f>
        <v>8.0000000000000018</v>
      </c>
      <c r="G10" s="15" t="str">
        <f t="shared" ref="G10:G39" si="2">+IF(C10&gt;0.333333333333333,+(C10-0.333333333333333)*24*60,"0")</f>
        <v>0</v>
      </c>
      <c r="H10" s="3"/>
    </row>
    <row r="11" spans="1:8" x14ac:dyDescent="0.3">
      <c r="A11" s="8">
        <v>46114</v>
      </c>
      <c r="B11" s="12">
        <f t="shared" si="0"/>
        <v>46114</v>
      </c>
      <c r="C11" s="13"/>
      <c r="D11" s="13"/>
      <c r="E11" s="7"/>
      <c r="F11" s="14">
        <f t="shared" si="1"/>
        <v>0</v>
      </c>
      <c r="G11" s="15" t="str">
        <f t="shared" si="2"/>
        <v>0</v>
      </c>
      <c r="H11" s="3" t="s">
        <v>77</v>
      </c>
    </row>
    <row r="12" spans="1:8" x14ac:dyDescent="0.3">
      <c r="A12" s="8">
        <v>46115</v>
      </c>
      <c r="B12" s="12">
        <f t="shared" si="0"/>
        <v>46115</v>
      </c>
      <c r="C12" s="13"/>
      <c r="D12" s="13"/>
      <c r="E12" s="7"/>
      <c r="F12" s="14">
        <f t="shared" si="1"/>
        <v>0</v>
      </c>
      <c r="G12" s="15" t="str">
        <f t="shared" si="2"/>
        <v>0</v>
      </c>
      <c r="H12" s="3" t="s">
        <v>72</v>
      </c>
    </row>
    <row r="13" spans="1:8" x14ac:dyDescent="0.3">
      <c r="A13" s="8">
        <v>46116</v>
      </c>
      <c r="B13" s="12">
        <f t="shared" si="0"/>
        <v>46116</v>
      </c>
      <c r="C13" s="13"/>
      <c r="D13" s="13"/>
      <c r="E13" s="7"/>
      <c r="F13" s="14">
        <f t="shared" si="1"/>
        <v>0</v>
      </c>
      <c r="G13" s="15" t="str">
        <f t="shared" si="2"/>
        <v>0</v>
      </c>
      <c r="H13" s="3"/>
    </row>
    <row r="14" spans="1:8" x14ac:dyDescent="0.3">
      <c r="A14" s="8">
        <v>46117</v>
      </c>
      <c r="B14" s="12">
        <f t="shared" si="0"/>
        <v>46117</v>
      </c>
      <c r="C14" s="13"/>
      <c r="D14" s="13"/>
      <c r="E14" s="7"/>
      <c r="F14" s="14">
        <f t="shared" si="1"/>
        <v>0</v>
      </c>
      <c r="G14" s="15" t="str">
        <f t="shared" si="2"/>
        <v>0</v>
      </c>
      <c r="H14" s="3"/>
    </row>
    <row r="15" spans="1:8" x14ac:dyDescent="0.3">
      <c r="A15" s="8">
        <v>46118</v>
      </c>
      <c r="B15" s="12">
        <f t="shared" si="0"/>
        <v>46118</v>
      </c>
      <c r="C15" s="13">
        <v>0.33333333333333331</v>
      </c>
      <c r="D15" s="13">
        <v>0.70833333333333337</v>
      </c>
      <c r="E15" s="7">
        <v>1</v>
      </c>
      <c r="F15" s="14">
        <f t="shared" si="1"/>
        <v>8.0000000000000018</v>
      </c>
      <c r="G15" s="15" t="str">
        <f t="shared" si="2"/>
        <v>0</v>
      </c>
      <c r="H15" s="3"/>
    </row>
    <row r="16" spans="1:8" x14ac:dyDescent="0.3">
      <c r="A16" s="8">
        <v>46119</v>
      </c>
      <c r="B16" s="12">
        <f t="shared" si="0"/>
        <v>46119</v>
      </c>
      <c r="C16" s="13">
        <v>0.33333333333333331</v>
      </c>
      <c r="D16" s="13">
        <v>0.70833333333333337</v>
      </c>
      <c r="E16" s="7">
        <v>1</v>
      </c>
      <c r="F16" s="14">
        <f t="shared" si="1"/>
        <v>8.0000000000000018</v>
      </c>
      <c r="G16" s="15" t="str">
        <f t="shared" si="2"/>
        <v>0</v>
      </c>
      <c r="H16" s="3"/>
    </row>
    <row r="17" spans="1:8" x14ac:dyDescent="0.3">
      <c r="A17" s="8">
        <v>46120</v>
      </c>
      <c r="B17" s="12">
        <f t="shared" si="0"/>
        <v>46120</v>
      </c>
      <c r="C17" s="13">
        <v>0.33333333333333331</v>
      </c>
      <c r="D17" s="13">
        <v>0.70833333333333337</v>
      </c>
      <c r="E17" s="7">
        <v>1</v>
      </c>
      <c r="F17" s="14">
        <f t="shared" si="1"/>
        <v>8.0000000000000018</v>
      </c>
      <c r="G17" s="15" t="str">
        <f t="shared" si="2"/>
        <v>0</v>
      </c>
      <c r="H17" s="3"/>
    </row>
    <row r="18" spans="1:8" x14ac:dyDescent="0.3">
      <c r="A18" s="8">
        <v>46121</v>
      </c>
      <c r="B18" s="12">
        <f t="shared" si="0"/>
        <v>46121</v>
      </c>
      <c r="C18" s="13">
        <v>0.33333333333333331</v>
      </c>
      <c r="D18" s="13">
        <v>0.70833333333333337</v>
      </c>
      <c r="E18" s="7">
        <v>1</v>
      </c>
      <c r="F18" s="14">
        <f t="shared" si="1"/>
        <v>8.0000000000000018</v>
      </c>
      <c r="G18" s="15" t="str">
        <f t="shared" si="2"/>
        <v>0</v>
      </c>
      <c r="H18" s="3"/>
    </row>
    <row r="19" spans="1:8" x14ac:dyDescent="0.3">
      <c r="A19" s="8">
        <v>46122</v>
      </c>
      <c r="B19" s="12">
        <f t="shared" si="0"/>
        <v>46122</v>
      </c>
      <c r="C19" s="13">
        <v>0.33333333333333331</v>
      </c>
      <c r="D19" s="13">
        <v>0.70833333333333337</v>
      </c>
      <c r="E19" s="7">
        <v>1</v>
      </c>
      <c r="F19" s="14">
        <f t="shared" si="1"/>
        <v>8.0000000000000018</v>
      </c>
      <c r="G19" s="15" t="str">
        <f t="shared" si="2"/>
        <v>0</v>
      </c>
      <c r="H19" s="3"/>
    </row>
    <row r="20" spans="1:8" x14ac:dyDescent="0.3">
      <c r="A20" s="8">
        <v>46123</v>
      </c>
      <c r="B20" s="12">
        <f t="shared" si="0"/>
        <v>46123</v>
      </c>
      <c r="C20" s="13"/>
      <c r="D20" s="13"/>
      <c r="E20" s="7"/>
      <c r="F20" s="14">
        <f t="shared" si="1"/>
        <v>0</v>
      </c>
      <c r="G20" s="15" t="str">
        <f t="shared" si="2"/>
        <v>0</v>
      </c>
      <c r="H20" s="3"/>
    </row>
    <row r="21" spans="1:8" x14ac:dyDescent="0.3">
      <c r="A21" s="8">
        <v>46124</v>
      </c>
      <c r="B21" s="12">
        <f t="shared" si="0"/>
        <v>46124</v>
      </c>
      <c r="C21" s="13"/>
      <c r="D21" s="13"/>
      <c r="E21" s="7"/>
      <c r="F21" s="14">
        <f t="shared" si="1"/>
        <v>0</v>
      </c>
      <c r="G21" s="15" t="str">
        <f t="shared" si="2"/>
        <v>0</v>
      </c>
      <c r="H21" s="3"/>
    </row>
    <row r="22" spans="1:8" x14ac:dyDescent="0.3">
      <c r="A22" s="8">
        <v>46125</v>
      </c>
      <c r="B22" s="12">
        <f t="shared" si="0"/>
        <v>46125</v>
      </c>
      <c r="C22" s="13">
        <v>0.33333333333333331</v>
      </c>
      <c r="D22" s="13">
        <v>0.70833333333333337</v>
      </c>
      <c r="E22" s="7">
        <v>1</v>
      </c>
      <c r="F22" s="14">
        <f t="shared" si="1"/>
        <v>8.0000000000000018</v>
      </c>
      <c r="G22" s="15" t="str">
        <f t="shared" si="2"/>
        <v>0</v>
      </c>
      <c r="H22" s="3"/>
    </row>
    <row r="23" spans="1:8" x14ac:dyDescent="0.3">
      <c r="A23" s="8">
        <v>46126</v>
      </c>
      <c r="B23" s="12">
        <f t="shared" si="0"/>
        <v>46126</v>
      </c>
      <c r="C23" s="13">
        <v>0.33333333333333331</v>
      </c>
      <c r="D23" s="13">
        <v>0.7583333333333333</v>
      </c>
      <c r="E23" s="7">
        <v>1</v>
      </c>
      <c r="F23" s="14">
        <f t="shared" si="1"/>
        <v>9.1999999999999993</v>
      </c>
      <c r="G23" s="15" t="str">
        <f t="shared" si="2"/>
        <v>0</v>
      </c>
      <c r="H23" s="3"/>
    </row>
    <row r="24" spans="1:8" x14ac:dyDescent="0.3">
      <c r="A24" s="8">
        <v>46127</v>
      </c>
      <c r="B24" s="12">
        <f t="shared" si="0"/>
        <v>46127</v>
      </c>
      <c r="C24" s="13">
        <v>0.34027777777777779</v>
      </c>
      <c r="D24" s="13">
        <v>0.75902777777777775</v>
      </c>
      <c r="E24" s="7">
        <v>1</v>
      </c>
      <c r="F24" s="14">
        <f t="shared" si="1"/>
        <v>9.0499999999999989</v>
      </c>
      <c r="G24" s="15">
        <f t="shared" si="2"/>
        <v>10.000000000000524</v>
      </c>
      <c r="H24" s="3"/>
    </row>
    <row r="25" spans="1:8" x14ac:dyDescent="0.3">
      <c r="A25" s="8">
        <v>46128</v>
      </c>
      <c r="B25" s="12">
        <f t="shared" si="0"/>
        <v>46128</v>
      </c>
      <c r="C25" s="13">
        <v>0.34791666666666671</v>
      </c>
      <c r="D25" s="13">
        <v>0.75347222222222221</v>
      </c>
      <c r="E25" s="7">
        <v>1</v>
      </c>
      <c r="F25" s="14">
        <f t="shared" si="1"/>
        <v>8.7333333333333325</v>
      </c>
      <c r="G25" s="15">
        <f t="shared" si="2"/>
        <v>21.000000000000565</v>
      </c>
      <c r="H25" s="3"/>
    </row>
    <row r="26" spans="1:8" x14ac:dyDescent="0.3">
      <c r="A26" s="8">
        <v>46129</v>
      </c>
      <c r="B26" s="12">
        <f t="shared" si="0"/>
        <v>46129</v>
      </c>
      <c r="C26" s="13">
        <v>0.34791666666666671</v>
      </c>
      <c r="D26" s="13">
        <v>0.85</v>
      </c>
      <c r="E26" s="7">
        <v>1</v>
      </c>
      <c r="F26" s="14">
        <f t="shared" si="1"/>
        <v>11.049999999999997</v>
      </c>
      <c r="G26" s="15">
        <f t="shared" si="2"/>
        <v>21.000000000000565</v>
      </c>
      <c r="H26" s="3"/>
    </row>
    <row r="27" spans="1:8" x14ac:dyDescent="0.3">
      <c r="A27" s="8">
        <v>46130</v>
      </c>
      <c r="B27" s="12">
        <f t="shared" si="0"/>
        <v>46130</v>
      </c>
      <c r="C27" s="13"/>
      <c r="D27" s="13"/>
      <c r="E27" s="7"/>
      <c r="F27" s="14">
        <f t="shared" si="1"/>
        <v>0</v>
      </c>
      <c r="G27" s="15" t="str">
        <f t="shared" si="2"/>
        <v>0</v>
      </c>
      <c r="H27" s="3"/>
    </row>
    <row r="28" spans="1:8" x14ac:dyDescent="0.3">
      <c r="A28" s="8">
        <v>46131</v>
      </c>
      <c r="B28" s="12">
        <f t="shared" si="0"/>
        <v>46131</v>
      </c>
      <c r="C28" s="13"/>
      <c r="D28" s="13"/>
      <c r="E28" s="7"/>
      <c r="F28" s="14">
        <f t="shared" si="1"/>
        <v>0</v>
      </c>
      <c r="G28" s="15" t="str">
        <f t="shared" si="2"/>
        <v>0</v>
      </c>
      <c r="H28" s="3"/>
    </row>
    <row r="29" spans="1:8" x14ac:dyDescent="0.3">
      <c r="A29" s="8">
        <v>46132</v>
      </c>
      <c r="B29" s="12">
        <f t="shared" si="0"/>
        <v>46132</v>
      </c>
      <c r="C29" s="13">
        <v>0.35208333333333341</v>
      </c>
      <c r="D29" s="13">
        <v>0.72499999999999998</v>
      </c>
      <c r="E29" s="7">
        <v>1</v>
      </c>
      <c r="F29" s="14">
        <f t="shared" si="1"/>
        <v>7.9499999999999975</v>
      </c>
      <c r="G29" s="15">
        <f t="shared" si="2"/>
        <v>27.000000000000625</v>
      </c>
      <c r="H29" s="3"/>
    </row>
    <row r="30" spans="1:8" x14ac:dyDescent="0.3">
      <c r="A30" s="8">
        <v>46133</v>
      </c>
      <c r="B30" s="12">
        <f t="shared" si="0"/>
        <v>46133</v>
      </c>
      <c r="C30" s="13"/>
      <c r="D30" s="13"/>
      <c r="E30" s="7"/>
      <c r="F30" s="14">
        <f t="shared" si="1"/>
        <v>0</v>
      </c>
      <c r="G30" s="15" t="str">
        <f t="shared" si="2"/>
        <v>0</v>
      </c>
      <c r="H30" s="3"/>
    </row>
    <row r="31" spans="1:8" x14ac:dyDescent="0.3">
      <c r="A31" s="8">
        <v>46134</v>
      </c>
      <c r="B31" s="12">
        <f t="shared" si="0"/>
        <v>46134</v>
      </c>
      <c r="C31" s="13"/>
      <c r="D31" s="13"/>
      <c r="E31" s="7"/>
      <c r="F31" s="14">
        <f t="shared" si="1"/>
        <v>0</v>
      </c>
      <c r="G31" s="15" t="str">
        <f t="shared" si="2"/>
        <v>0</v>
      </c>
      <c r="H31" s="3"/>
    </row>
    <row r="32" spans="1:8" x14ac:dyDescent="0.3">
      <c r="A32" s="8">
        <v>46135</v>
      </c>
      <c r="B32" s="12">
        <f t="shared" si="0"/>
        <v>46135</v>
      </c>
      <c r="C32" s="13"/>
      <c r="D32" s="13"/>
      <c r="E32" s="7"/>
      <c r="F32" s="14">
        <f t="shared" si="1"/>
        <v>0</v>
      </c>
      <c r="G32" s="15" t="str">
        <f t="shared" si="2"/>
        <v>0</v>
      </c>
      <c r="H32" s="3"/>
    </row>
    <row r="33" spans="1:8" x14ac:dyDescent="0.3">
      <c r="A33" s="8">
        <v>46136</v>
      </c>
      <c r="B33" s="12">
        <f t="shared" si="0"/>
        <v>46136</v>
      </c>
      <c r="C33" s="13"/>
      <c r="D33" s="13"/>
      <c r="E33" s="7"/>
      <c r="F33" s="14">
        <f t="shared" si="1"/>
        <v>0</v>
      </c>
      <c r="G33" s="15" t="str">
        <f t="shared" si="2"/>
        <v>0</v>
      </c>
      <c r="H33" s="3"/>
    </row>
    <row r="34" spans="1:8" x14ac:dyDescent="0.3">
      <c r="A34" s="8">
        <v>46137</v>
      </c>
      <c r="B34" s="12">
        <f t="shared" si="0"/>
        <v>46137</v>
      </c>
      <c r="C34" s="13"/>
      <c r="D34" s="13"/>
      <c r="E34" s="7"/>
      <c r="F34" s="14">
        <f t="shared" si="1"/>
        <v>0</v>
      </c>
      <c r="G34" s="15" t="str">
        <f t="shared" si="2"/>
        <v>0</v>
      </c>
      <c r="H34" s="3"/>
    </row>
    <row r="35" spans="1:8" x14ac:dyDescent="0.3">
      <c r="A35" s="8">
        <v>46138</v>
      </c>
      <c r="B35" s="12">
        <f t="shared" si="0"/>
        <v>46138</v>
      </c>
      <c r="C35" s="13"/>
      <c r="D35" s="13"/>
      <c r="E35" s="7"/>
      <c r="F35" s="14">
        <f t="shared" si="1"/>
        <v>0</v>
      </c>
      <c r="G35" s="15" t="str">
        <f t="shared" si="2"/>
        <v>0</v>
      </c>
      <c r="H35" s="3"/>
    </row>
    <row r="36" spans="1:8" x14ac:dyDescent="0.3">
      <c r="A36" s="8">
        <v>46139</v>
      </c>
      <c r="B36" s="12">
        <f t="shared" si="0"/>
        <v>46139</v>
      </c>
      <c r="C36" s="13"/>
      <c r="D36" s="13"/>
      <c r="E36" s="7"/>
      <c r="F36" s="14">
        <f t="shared" si="1"/>
        <v>0</v>
      </c>
      <c r="G36" s="15" t="str">
        <f t="shared" si="2"/>
        <v>0</v>
      </c>
      <c r="H36" s="3"/>
    </row>
    <row r="37" spans="1:8" x14ac:dyDescent="0.3">
      <c r="A37" s="8">
        <v>46140</v>
      </c>
      <c r="B37" s="12">
        <f t="shared" si="0"/>
        <v>46140</v>
      </c>
      <c r="C37" s="13"/>
      <c r="D37" s="13"/>
      <c r="E37" s="7"/>
      <c r="F37" s="14">
        <f t="shared" si="1"/>
        <v>0</v>
      </c>
      <c r="G37" s="15" t="str">
        <f t="shared" si="2"/>
        <v>0</v>
      </c>
      <c r="H37" s="3"/>
    </row>
    <row r="38" spans="1:8" x14ac:dyDescent="0.3">
      <c r="A38" s="8">
        <v>46141</v>
      </c>
      <c r="B38" s="12">
        <f t="shared" si="0"/>
        <v>46141</v>
      </c>
      <c r="C38" s="13"/>
      <c r="D38" s="13"/>
      <c r="E38" s="7"/>
      <c r="F38" s="14">
        <f t="shared" si="1"/>
        <v>0</v>
      </c>
      <c r="G38" s="15" t="str">
        <f t="shared" si="2"/>
        <v>0</v>
      </c>
      <c r="H38" s="3"/>
    </row>
    <row r="39" spans="1:8" x14ac:dyDescent="0.3">
      <c r="A39" s="8">
        <v>46142</v>
      </c>
      <c r="B39" s="12">
        <f t="shared" si="0"/>
        <v>46142</v>
      </c>
      <c r="C39" s="13"/>
      <c r="D39" s="13"/>
      <c r="E39" s="7"/>
      <c r="F39" s="14">
        <f t="shared" si="1"/>
        <v>0</v>
      </c>
      <c r="G39" s="15" t="str">
        <f t="shared" si="2"/>
        <v>0</v>
      </c>
      <c r="H39" s="3"/>
    </row>
    <row r="40" spans="1:8" x14ac:dyDescent="0.3">
      <c r="A40" s="44" t="s">
        <v>73</v>
      </c>
      <c r="B40" s="23"/>
      <c r="C40" s="45">
        <f>+COUNT(C10:C39)</f>
        <v>12</v>
      </c>
      <c r="D40" s="23"/>
      <c r="E40" s="23"/>
      <c r="F40" s="23"/>
      <c r="G40" s="23"/>
    </row>
    <row r="41" spans="1:8" x14ac:dyDescent="0.3">
      <c r="A41" s="44" t="s">
        <v>74</v>
      </c>
      <c r="B41" s="23"/>
      <c r="C41" s="46">
        <f>SUM(F10:F39)</f>
        <v>101.98333333333333</v>
      </c>
      <c r="D41" s="23"/>
      <c r="E41" s="23"/>
      <c r="F41" s="23"/>
      <c r="G41" s="23"/>
    </row>
    <row r="42" spans="1:8" x14ac:dyDescent="0.3">
      <c r="A42" s="44" t="s">
        <v>75</v>
      </c>
      <c r="B42" s="23"/>
      <c r="C42" s="45">
        <f>SUM(G10:G39)</f>
        <v>79.000000000002274</v>
      </c>
      <c r="D42" s="23"/>
      <c r="E42" s="23"/>
      <c r="F42" s="23"/>
      <c r="G42" s="23"/>
    </row>
  </sheetData>
  <mergeCells count="7">
    <mergeCell ref="A41:B41"/>
    <mergeCell ref="C42:G42"/>
    <mergeCell ref="A2:H2"/>
    <mergeCell ref="A42:B42"/>
    <mergeCell ref="C41:G41"/>
    <mergeCell ref="A40:B40"/>
    <mergeCell ref="C40:G4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H42"/>
  <sheetViews>
    <sheetView workbookViewId="0">
      <selection activeCell="D16" sqref="D16"/>
    </sheetView>
  </sheetViews>
  <sheetFormatPr defaultRowHeight="14.4" x14ac:dyDescent="0.3"/>
  <cols>
    <col min="1" max="1" width="15.88671875" customWidth="1"/>
    <col min="2" max="2" width="14.33203125" customWidth="1"/>
    <col min="3" max="3" width="14.109375" customWidth="1"/>
    <col min="4" max="4" width="12.33203125" customWidth="1"/>
    <col min="5" max="5" width="13" customWidth="1"/>
    <col min="6" max="6" width="14.88671875" customWidth="1"/>
    <col min="7" max="7" width="17.44140625" customWidth="1"/>
    <col min="8" max="8" width="20" customWidth="1"/>
  </cols>
  <sheetData>
    <row r="2" spans="1:8" x14ac:dyDescent="0.3">
      <c r="A2" s="22" t="s">
        <v>63</v>
      </c>
      <c r="B2" s="23"/>
      <c r="C2" s="23"/>
      <c r="D2" s="23"/>
      <c r="E2" s="23"/>
      <c r="F2" s="23"/>
      <c r="G2" s="23"/>
      <c r="H2" s="23"/>
    </row>
    <row r="3" spans="1:8" ht="4.8" customHeight="1" x14ac:dyDescent="0.3"/>
    <row r="4" spans="1:8" x14ac:dyDescent="0.3">
      <c r="A4" s="16" t="s">
        <v>13</v>
      </c>
      <c r="B4" s="17">
        <v>12</v>
      </c>
    </row>
    <row r="5" spans="1:8" x14ac:dyDescent="0.3">
      <c r="A5" s="16" t="s">
        <v>14</v>
      </c>
      <c r="B5" s="17" t="s">
        <v>43</v>
      </c>
    </row>
    <row r="6" spans="1:8" x14ac:dyDescent="0.3">
      <c r="A6" s="16" t="s">
        <v>15</v>
      </c>
      <c r="B6" s="17" t="s">
        <v>44</v>
      </c>
    </row>
    <row r="7" spans="1:8" x14ac:dyDescent="0.3">
      <c r="A7" s="16" t="s">
        <v>17</v>
      </c>
      <c r="B7" s="18">
        <v>3808</v>
      </c>
    </row>
    <row r="8" spans="1:8" ht="4.8" customHeight="1" x14ac:dyDescent="0.3"/>
    <row r="9" spans="1:8" ht="28.8" x14ac:dyDescent="0.3">
      <c r="A9" s="6" t="s">
        <v>64</v>
      </c>
      <c r="B9" s="6" t="s">
        <v>65</v>
      </c>
      <c r="C9" s="6" t="s">
        <v>66</v>
      </c>
      <c r="D9" s="6" t="s">
        <v>67</v>
      </c>
      <c r="E9" s="6" t="s">
        <v>68</v>
      </c>
      <c r="F9" s="6" t="s">
        <v>69</v>
      </c>
      <c r="G9" s="6" t="s">
        <v>70</v>
      </c>
      <c r="H9" s="6" t="s">
        <v>71</v>
      </c>
    </row>
    <row r="10" spans="1:8" x14ac:dyDescent="0.3">
      <c r="A10" s="8">
        <v>46113</v>
      </c>
      <c r="B10" s="12">
        <f t="shared" ref="B10:B39" si="0">+A10</f>
        <v>46113</v>
      </c>
      <c r="C10" s="13">
        <v>0.33333333333333331</v>
      </c>
      <c r="D10" s="13">
        <v>0.70833333333333337</v>
      </c>
      <c r="E10" s="7">
        <v>1</v>
      </c>
      <c r="F10" s="14">
        <f t="shared" ref="F10:F39" si="1">+(D10-C10)*24-E10</f>
        <v>8.0000000000000018</v>
      </c>
      <c r="G10" s="15" t="str">
        <f t="shared" ref="G10:G39" si="2">+IF(C10&gt;0.333333333333333,+(C10-0.333333333333333)*24*60,"0")</f>
        <v>0</v>
      </c>
      <c r="H10" s="3"/>
    </row>
    <row r="11" spans="1:8" x14ac:dyDescent="0.3">
      <c r="A11" s="8">
        <v>46114</v>
      </c>
      <c r="B11" s="12">
        <f t="shared" si="0"/>
        <v>46114</v>
      </c>
      <c r="C11" s="13">
        <v>0.33333333333333331</v>
      </c>
      <c r="D11" s="13">
        <v>0.70833333333333337</v>
      </c>
      <c r="E11" s="7">
        <v>1</v>
      </c>
      <c r="F11" s="14">
        <f t="shared" si="1"/>
        <v>8.0000000000000018</v>
      </c>
      <c r="G11" s="15" t="str">
        <f t="shared" si="2"/>
        <v>0</v>
      </c>
      <c r="H11" s="3"/>
    </row>
    <row r="12" spans="1:8" x14ac:dyDescent="0.3">
      <c r="A12" s="8">
        <v>46115</v>
      </c>
      <c r="B12" s="12">
        <f t="shared" si="0"/>
        <v>46115</v>
      </c>
      <c r="C12" s="13"/>
      <c r="D12" s="13"/>
      <c r="E12" s="7"/>
      <c r="F12" s="14">
        <f t="shared" si="1"/>
        <v>0</v>
      </c>
      <c r="G12" s="15" t="str">
        <f t="shared" si="2"/>
        <v>0</v>
      </c>
      <c r="H12" s="3" t="s">
        <v>72</v>
      </c>
    </row>
    <row r="13" spans="1:8" x14ac:dyDescent="0.3">
      <c r="A13" s="8">
        <v>46116</v>
      </c>
      <c r="B13" s="12">
        <f t="shared" si="0"/>
        <v>46116</v>
      </c>
      <c r="C13" s="13"/>
      <c r="D13" s="13"/>
      <c r="E13" s="7"/>
      <c r="F13" s="14">
        <f t="shared" si="1"/>
        <v>0</v>
      </c>
      <c r="G13" s="15" t="str">
        <f t="shared" si="2"/>
        <v>0</v>
      </c>
      <c r="H13" s="3"/>
    </row>
    <row r="14" spans="1:8" x14ac:dyDescent="0.3">
      <c r="A14" s="8">
        <v>46117</v>
      </c>
      <c r="B14" s="12">
        <f t="shared" si="0"/>
        <v>46117</v>
      </c>
      <c r="C14" s="13"/>
      <c r="D14" s="13"/>
      <c r="E14" s="7"/>
      <c r="F14" s="14">
        <f t="shared" si="1"/>
        <v>0</v>
      </c>
      <c r="G14" s="15" t="str">
        <f t="shared" si="2"/>
        <v>0</v>
      </c>
      <c r="H14" s="3"/>
    </row>
    <row r="15" spans="1:8" x14ac:dyDescent="0.3">
      <c r="A15" s="8">
        <v>46118</v>
      </c>
      <c r="B15" s="12">
        <f t="shared" si="0"/>
        <v>46118</v>
      </c>
      <c r="C15" s="13">
        <v>0.33333333333333331</v>
      </c>
      <c r="D15" s="13">
        <v>0.70833333333333337</v>
      </c>
      <c r="E15" s="7">
        <v>1</v>
      </c>
      <c r="F15" s="14">
        <f t="shared" si="1"/>
        <v>8.0000000000000018</v>
      </c>
      <c r="G15" s="15" t="str">
        <f t="shared" si="2"/>
        <v>0</v>
      </c>
      <c r="H15" s="3"/>
    </row>
    <row r="16" spans="1:8" x14ac:dyDescent="0.3">
      <c r="A16" s="8">
        <v>46119</v>
      </c>
      <c r="B16" s="12">
        <f t="shared" si="0"/>
        <v>46119</v>
      </c>
      <c r="C16" s="13">
        <v>0.33333333333333331</v>
      </c>
      <c r="D16" s="13">
        <v>0.70833333333333337</v>
      </c>
      <c r="E16" s="7">
        <v>1</v>
      </c>
      <c r="F16" s="14">
        <f t="shared" si="1"/>
        <v>8.0000000000000018</v>
      </c>
      <c r="G16" s="15" t="str">
        <f t="shared" si="2"/>
        <v>0</v>
      </c>
      <c r="H16" s="3"/>
    </row>
    <row r="17" spans="1:8" x14ac:dyDescent="0.3">
      <c r="A17" s="8">
        <v>46120</v>
      </c>
      <c r="B17" s="12">
        <f t="shared" si="0"/>
        <v>46120</v>
      </c>
      <c r="C17" s="13">
        <v>0.32916666666666672</v>
      </c>
      <c r="D17" s="13">
        <v>0.71944444444444444</v>
      </c>
      <c r="E17" s="7">
        <v>1</v>
      </c>
      <c r="F17" s="14">
        <f t="shared" si="1"/>
        <v>8.3666666666666654</v>
      </c>
      <c r="G17" s="15" t="str">
        <f t="shared" si="2"/>
        <v>0</v>
      </c>
      <c r="H17" s="3"/>
    </row>
    <row r="18" spans="1:8" x14ac:dyDescent="0.3">
      <c r="A18" s="8">
        <v>46121</v>
      </c>
      <c r="B18" s="12">
        <f t="shared" si="0"/>
        <v>46121</v>
      </c>
      <c r="C18" s="13">
        <v>0.27430555555555558</v>
      </c>
      <c r="D18" s="13">
        <v>0.64166666666666672</v>
      </c>
      <c r="E18" s="7">
        <v>1</v>
      </c>
      <c r="F18" s="14">
        <f t="shared" si="1"/>
        <v>7.8166666666666664</v>
      </c>
      <c r="G18" s="15" t="str">
        <f t="shared" si="2"/>
        <v>0</v>
      </c>
      <c r="H18" s="3"/>
    </row>
    <row r="19" spans="1:8" x14ac:dyDescent="0.3">
      <c r="A19" s="8">
        <v>46122</v>
      </c>
      <c r="B19" s="12">
        <f t="shared" si="0"/>
        <v>46122</v>
      </c>
      <c r="C19" s="13">
        <v>0.32083333333333341</v>
      </c>
      <c r="D19" s="13">
        <v>0.72013888888888888</v>
      </c>
      <c r="E19" s="7">
        <v>1</v>
      </c>
      <c r="F19" s="14">
        <f t="shared" si="1"/>
        <v>8.5833333333333321</v>
      </c>
      <c r="G19" s="15" t="str">
        <f t="shared" si="2"/>
        <v>0</v>
      </c>
      <c r="H19" s="3"/>
    </row>
    <row r="20" spans="1:8" x14ac:dyDescent="0.3">
      <c r="A20" s="8">
        <v>46123</v>
      </c>
      <c r="B20" s="12">
        <f t="shared" si="0"/>
        <v>46123</v>
      </c>
      <c r="C20" s="13">
        <v>0.33819444444444452</v>
      </c>
      <c r="D20" s="13">
        <v>0.50486111111111109</v>
      </c>
      <c r="E20" s="7">
        <v>1</v>
      </c>
      <c r="F20" s="14">
        <f t="shared" si="1"/>
        <v>2.9999999999999978</v>
      </c>
      <c r="G20" s="15">
        <f t="shared" si="2"/>
        <v>7.0000000000006146</v>
      </c>
      <c r="H20" s="3"/>
    </row>
    <row r="21" spans="1:8" x14ac:dyDescent="0.3">
      <c r="A21" s="8">
        <v>46124</v>
      </c>
      <c r="B21" s="12">
        <f t="shared" si="0"/>
        <v>46124</v>
      </c>
      <c r="C21" s="13"/>
      <c r="D21" s="13"/>
      <c r="E21" s="7"/>
      <c r="F21" s="14">
        <f t="shared" si="1"/>
        <v>0</v>
      </c>
      <c r="G21" s="15" t="str">
        <f t="shared" si="2"/>
        <v>0</v>
      </c>
      <c r="H21" s="3"/>
    </row>
    <row r="22" spans="1:8" x14ac:dyDescent="0.3">
      <c r="A22" s="8">
        <v>46125</v>
      </c>
      <c r="B22" s="12">
        <f t="shared" si="0"/>
        <v>46125</v>
      </c>
      <c r="C22" s="13">
        <v>0.33333333333333331</v>
      </c>
      <c r="D22" s="13">
        <v>0.72152777777777777</v>
      </c>
      <c r="E22" s="7">
        <v>1</v>
      </c>
      <c r="F22" s="14">
        <f t="shared" si="1"/>
        <v>8.3166666666666664</v>
      </c>
      <c r="G22" s="15" t="str">
        <f t="shared" si="2"/>
        <v>0</v>
      </c>
      <c r="H22" s="3"/>
    </row>
    <row r="23" spans="1:8" x14ac:dyDescent="0.3">
      <c r="A23" s="8">
        <v>46126</v>
      </c>
      <c r="B23" s="12">
        <f t="shared" si="0"/>
        <v>46126</v>
      </c>
      <c r="C23" s="13">
        <v>0.3215277777777778</v>
      </c>
      <c r="D23" s="13">
        <v>0.72152777777777777</v>
      </c>
      <c r="E23" s="7">
        <v>1</v>
      </c>
      <c r="F23" s="14">
        <f t="shared" si="1"/>
        <v>8.6</v>
      </c>
      <c r="G23" s="15" t="str">
        <f t="shared" si="2"/>
        <v>0</v>
      </c>
      <c r="H23" s="3"/>
    </row>
    <row r="24" spans="1:8" x14ac:dyDescent="0.3">
      <c r="A24" s="8">
        <v>46127</v>
      </c>
      <c r="B24" s="12">
        <f t="shared" si="0"/>
        <v>46127</v>
      </c>
      <c r="C24" s="13">
        <v>0.31805555555555548</v>
      </c>
      <c r="D24" s="13">
        <v>0.71388888888888891</v>
      </c>
      <c r="E24" s="7">
        <v>1</v>
      </c>
      <c r="F24" s="14">
        <f t="shared" si="1"/>
        <v>8.5000000000000018</v>
      </c>
      <c r="G24" s="15" t="str">
        <f t="shared" si="2"/>
        <v>0</v>
      </c>
      <c r="H24" s="3"/>
    </row>
    <row r="25" spans="1:8" x14ac:dyDescent="0.3">
      <c r="A25" s="8">
        <v>46128</v>
      </c>
      <c r="B25" s="12">
        <f t="shared" si="0"/>
        <v>46128</v>
      </c>
      <c r="C25" s="13">
        <v>0.30138888888888887</v>
      </c>
      <c r="D25" s="13">
        <v>0.64027777777777772</v>
      </c>
      <c r="E25" s="7">
        <v>1</v>
      </c>
      <c r="F25" s="14">
        <f t="shared" si="1"/>
        <v>7.1333333333333329</v>
      </c>
      <c r="G25" s="15" t="str">
        <f t="shared" si="2"/>
        <v>0</v>
      </c>
      <c r="H25" s="3"/>
    </row>
    <row r="26" spans="1:8" x14ac:dyDescent="0.3">
      <c r="A26" s="8">
        <v>46129</v>
      </c>
      <c r="B26" s="12">
        <f t="shared" si="0"/>
        <v>46129</v>
      </c>
      <c r="C26" s="13">
        <v>0.34513888888888888</v>
      </c>
      <c r="D26" s="13">
        <v>0.72013888888888888</v>
      </c>
      <c r="E26" s="7">
        <v>1</v>
      </c>
      <c r="F26" s="14">
        <f t="shared" si="1"/>
        <v>8</v>
      </c>
      <c r="G26" s="15">
        <f t="shared" si="2"/>
        <v>17.000000000000497</v>
      </c>
      <c r="H26" s="3"/>
    </row>
    <row r="27" spans="1:8" x14ac:dyDescent="0.3">
      <c r="A27" s="8">
        <v>46130</v>
      </c>
      <c r="B27" s="12">
        <f t="shared" si="0"/>
        <v>46130</v>
      </c>
      <c r="C27" s="13">
        <v>0.33124999999999999</v>
      </c>
      <c r="D27" s="13">
        <v>0.50416666666666665</v>
      </c>
      <c r="E27" s="7">
        <v>1</v>
      </c>
      <c r="F27" s="14">
        <f t="shared" si="1"/>
        <v>3.1500000000000004</v>
      </c>
      <c r="G27" s="15" t="str">
        <f t="shared" si="2"/>
        <v>0</v>
      </c>
      <c r="H27" s="3"/>
    </row>
    <row r="28" spans="1:8" x14ac:dyDescent="0.3">
      <c r="A28" s="8">
        <v>46131</v>
      </c>
      <c r="B28" s="12">
        <f t="shared" si="0"/>
        <v>46131</v>
      </c>
      <c r="C28" s="13"/>
      <c r="D28" s="13"/>
      <c r="E28" s="7"/>
      <c r="F28" s="14">
        <f t="shared" si="1"/>
        <v>0</v>
      </c>
      <c r="G28" s="15" t="str">
        <f t="shared" si="2"/>
        <v>0</v>
      </c>
      <c r="H28" s="3"/>
    </row>
    <row r="29" spans="1:8" x14ac:dyDescent="0.3">
      <c r="A29" s="8">
        <v>46132</v>
      </c>
      <c r="B29" s="12">
        <f t="shared" si="0"/>
        <v>46132</v>
      </c>
      <c r="C29" s="13">
        <v>0.32013888888888892</v>
      </c>
      <c r="D29" s="13">
        <v>0.72152777777777777</v>
      </c>
      <c r="E29" s="7">
        <v>1</v>
      </c>
      <c r="F29" s="14">
        <f t="shared" si="1"/>
        <v>8.6333333333333329</v>
      </c>
      <c r="G29" s="15" t="str">
        <f t="shared" si="2"/>
        <v>0</v>
      </c>
      <c r="H29" s="3"/>
    </row>
    <row r="30" spans="1:8" x14ac:dyDescent="0.3">
      <c r="A30" s="8">
        <v>46133</v>
      </c>
      <c r="B30" s="12">
        <f t="shared" si="0"/>
        <v>46133</v>
      </c>
      <c r="C30" s="13"/>
      <c r="D30" s="13"/>
      <c r="E30" s="7"/>
      <c r="F30" s="14">
        <f t="shared" si="1"/>
        <v>0</v>
      </c>
      <c r="G30" s="15" t="str">
        <f t="shared" si="2"/>
        <v>0</v>
      </c>
      <c r="H30" s="3"/>
    </row>
    <row r="31" spans="1:8" x14ac:dyDescent="0.3">
      <c r="A31" s="8">
        <v>46134</v>
      </c>
      <c r="B31" s="12">
        <f t="shared" si="0"/>
        <v>46134</v>
      </c>
      <c r="C31" s="13"/>
      <c r="D31" s="13"/>
      <c r="E31" s="7"/>
      <c r="F31" s="14">
        <f t="shared" si="1"/>
        <v>0</v>
      </c>
      <c r="G31" s="15" t="str">
        <f t="shared" si="2"/>
        <v>0</v>
      </c>
      <c r="H31" s="3"/>
    </row>
    <row r="32" spans="1:8" x14ac:dyDescent="0.3">
      <c r="A32" s="8">
        <v>46135</v>
      </c>
      <c r="B32" s="12">
        <f t="shared" si="0"/>
        <v>46135</v>
      </c>
      <c r="C32" s="13"/>
      <c r="D32" s="13"/>
      <c r="E32" s="7"/>
      <c r="F32" s="14">
        <f t="shared" si="1"/>
        <v>0</v>
      </c>
      <c r="G32" s="15" t="str">
        <f t="shared" si="2"/>
        <v>0</v>
      </c>
      <c r="H32" s="3"/>
    </row>
    <row r="33" spans="1:8" x14ac:dyDescent="0.3">
      <c r="A33" s="8">
        <v>46136</v>
      </c>
      <c r="B33" s="12">
        <f t="shared" si="0"/>
        <v>46136</v>
      </c>
      <c r="C33" s="13"/>
      <c r="D33" s="13"/>
      <c r="E33" s="7"/>
      <c r="F33" s="14">
        <f t="shared" si="1"/>
        <v>0</v>
      </c>
      <c r="G33" s="15" t="str">
        <f t="shared" si="2"/>
        <v>0</v>
      </c>
      <c r="H33" s="3"/>
    </row>
    <row r="34" spans="1:8" x14ac:dyDescent="0.3">
      <c r="A34" s="8">
        <v>46137</v>
      </c>
      <c r="B34" s="12">
        <f t="shared" si="0"/>
        <v>46137</v>
      </c>
      <c r="C34" s="13"/>
      <c r="D34" s="13"/>
      <c r="E34" s="7"/>
      <c r="F34" s="14">
        <f t="shared" si="1"/>
        <v>0</v>
      </c>
      <c r="G34" s="15" t="str">
        <f t="shared" si="2"/>
        <v>0</v>
      </c>
      <c r="H34" s="3"/>
    </row>
    <row r="35" spans="1:8" x14ac:dyDescent="0.3">
      <c r="A35" s="8">
        <v>46138</v>
      </c>
      <c r="B35" s="12">
        <f t="shared" si="0"/>
        <v>46138</v>
      </c>
      <c r="C35" s="13"/>
      <c r="D35" s="13"/>
      <c r="E35" s="7"/>
      <c r="F35" s="14">
        <f t="shared" si="1"/>
        <v>0</v>
      </c>
      <c r="G35" s="15" t="str">
        <f t="shared" si="2"/>
        <v>0</v>
      </c>
      <c r="H35" s="3"/>
    </row>
    <row r="36" spans="1:8" x14ac:dyDescent="0.3">
      <c r="A36" s="8">
        <v>46139</v>
      </c>
      <c r="B36" s="12">
        <f t="shared" si="0"/>
        <v>46139</v>
      </c>
      <c r="C36" s="13"/>
      <c r="D36" s="13"/>
      <c r="E36" s="7"/>
      <c r="F36" s="14">
        <f t="shared" si="1"/>
        <v>0</v>
      </c>
      <c r="G36" s="15" t="str">
        <f t="shared" si="2"/>
        <v>0</v>
      </c>
      <c r="H36" s="3"/>
    </row>
    <row r="37" spans="1:8" x14ac:dyDescent="0.3">
      <c r="A37" s="8">
        <v>46140</v>
      </c>
      <c r="B37" s="12">
        <f t="shared" si="0"/>
        <v>46140</v>
      </c>
      <c r="C37" s="13"/>
      <c r="D37" s="13"/>
      <c r="E37" s="7"/>
      <c r="F37" s="14">
        <f t="shared" si="1"/>
        <v>0</v>
      </c>
      <c r="G37" s="15" t="str">
        <f t="shared" si="2"/>
        <v>0</v>
      </c>
      <c r="H37" s="3"/>
    </row>
    <row r="38" spans="1:8" x14ac:dyDescent="0.3">
      <c r="A38" s="8">
        <v>46141</v>
      </c>
      <c r="B38" s="12">
        <f t="shared" si="0"/>
        <v>46141</v>
      </c>
      <c r="C38" s="13"/>
      <c r="D38" s="13"/>
      <c r="E38" s="7"/>
      <c r="F38" s="14">
        <f t="shared" si="1"/>
        <v>0</v>
      </c>
      <c r="G38" s="15" t="str">
        <f t="shared" si="2"/>
        <v>0</v>
      </c>
      <c r="H38" s="3"/>
    </row>
    <row r="39" spans="1:8" x14ac:dyDescent="0.3">
      <c r="A39" s="8">
        <v>46142</v>
      </c>
      <c r="B39" s="12">
        <f t="shared" si="0"/>
        <v>46142</v>
      </c>
      <c r="C39" s="13"/>
      <c r="D39" s="13"/>
      <c r="E39" s="7"/>
      <c r="F39" s="14">
        <f t="shared" si="1"/>
        <v>0</v>
      </c>
      <c r="G39" s="15" t="str">
        <f t="shared" si="2"/>
        <v>0</v>
      </c>
      <c r="H39" s="3"/>
    </row>
    <row r="40" spans="1:8" x14ac:dyDescent="0.3">
      <c r="A40" s="44" t="s">
        <v>73</v>
      </c>
      <c r="B40" s="23"/>
      <c r="C40" s="45">
        <f>+COUNT(C10:C39)</f>
        <v>15</v>
      </c>
      <c r="D40" s="23"/>
      <c r="E40" s="23"/>
      <c r="F40" s="23"/>
      <c r="G40" s="23"/>
    </row>
    <row r="41" spans="1:8" x14ac:dyDescent="0.3">
      <c r="A41" s="44" t="s">
        <v>74</v>
      </c>
      <c r="B41" s="23"/>
      <c r="C41" s="46">
        <f>SUM(F10:F39)</f>
        <v>112.1</v>
      </c>
      <c r="D41" s="23"/>
      <c r="E41" s="23"/>
      <c r="F41" s="23"/>
      <c r="G41" s="23"/>
    </row>
    <row r="42" spans="1:8" x14ac:dyDescent="0.3">
      <c r="A42" s="44" t="s">
        <v>75</v>
      </c>
      <c r="B42" s="23"/>
      <c r="C42" s="45">
        <f>SUM(G10:G39)</f>
        <v>24.000000000001112</v>
      </c>
      <c r="D42" s="23"/>
      <c r="E42" s="23"/>
      <c r="F42" s="23"/>
      <c r="G42" s="23"/>
    </row>
  </sheetData>
  <mergeCells count="7">
    <mergeCell ref="A41:B41"/>
    <mergeCell ref="C42:G42"/>
    <mergeCell ref="A2:H2"/>
    <mergeCell ref="A42:B42"/>
    <mergeCell ref="C41:G41"/>
    <mergeCell ref="A40:B40"/>
    <mergeCell ref="C40:G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PL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Jaime Martinez</cp:lastModifiedBy>
  <dcterms:created xsi:type="dcterms:W3CDTF">2026-04-21T01:53:59Z</dcterms:created>
  <dcterms:modified xsi:type="dcterms:W3CDTF">2026-06-10T01:21:21Z</dcterms:modified>
</cp:coreProperties>
</file>